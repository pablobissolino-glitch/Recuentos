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A\Documents\Servidor SOS Agro\Base de Datos\Recuentos\Gruesa\Maíz\26-27\"/>
    </mc:Choice>
  </mc:AlternateContent>
  <xr:revisionPtr revIDLastSave="0" documentId="13_ncr:1_{07A7E878-E2D1-4986-A30F-5567AFDF427E}" xr6:coauthVersionLast="47" xr6:coauthVersionMax="47" xr10:uidLastSave="{00000000-0000-0000-0000-000000000000}"/>
  <workbookProtection workbookAlgorithmName="SHA-512" workbookHashValue="OFB7QL6r9QrSWRy4F8KQRD/iHuSyTWGhAGvgvCGY/gKH3aWmXDDuVtvPnys3xxskXheCs5bZD78L0IGd1cVGIA==" workbookSaltValue="XfXUKaHklpTDWBeb5FNcXg==" workbookSpinCount="100000" lockStructure="1"/>
  <bookViews>
    <workbookView xWindow="-98" yWindow="-98" windowWidth="21795" windowHeight="12975" tabRatio="949" activeTab="3" xr2:uid="{00000000-000D-0000-FFFF-FFFF00000000}"/>
  </bookViews>
  <sheets>
    <sheet name="Caratula" sheetId="63" r:id="rId1"/>
    <sheet name="Lotes App" sheetId="174" state="hidden" r:id="rId2"/>
    <sheet name="Listado" sheetId="175" state="hidden" r:id="rId3"/>
    <sheet name="L1" sheetId="1" r:id="rId4"/>
    <sheet name="L2" sheetId="176" r:id="rId5"/>
    <sheet name="L3" sheetId="177" r:id="rId6"/>
    <sheet name="L4" sheetId="178" r:id="rId7"/>
    <sheet name="L5" sheetId="179" r:id="rId8"/>
    <sheet name="L6" sheetId="180" r:id="rId9"/>
    <sheet name="L7" sheetId="181" r:id="rId10"/>
    <sheet name="L8" sheetId="182" r:id="rId11"/>
    <sheet name="L9" sheetId="183" r:id="rId12"/>
    <sheet name="L10" sheetId="184" r:id="rId13"/>
    <sheet name="L11" sheetId="185" r:id="rId14"/>
    <sheet name="L12" sheetId="186" r:id="rId15"/>
    <sheet name="L13" sheetId="187" r:id="rId16"/>
    <sheet name="L14" sheetId="188" r:id="rId17"/>
    <sheet name="L15" sheetId="189" r:id="rId18"/>
    <sheet name="L16" sheetId="190" r:id="rId19"/>
    <sheet name="L17" sheetId="191" r:id="rId20"/>
    <sheet name="L18" sheetId="192" r:id="rId21"/>
    <sheet name="L19" sheetId="193" r:id="rId22"/>
    <sheet name="L20" sheetId="194" r:id="rId23"/>
    <sheet name="Resumen" sheetId="16" r:id="rId24"/>
    <sheet name="Graficos" sheetId="65" r:id="rId25"/>
  </sheets>
  <definedNames>
    <definedName name="_xlnm._FilterDatabase" localSheetId="23" hidden="1">Resumen!$B$3:$N$24</definedName>
    <definedName name="_xlnm.Print_Area" localSheetId="23">Resumen!$B$1:$N$32</definedName>
    <definedName name="_xlnm.Criteria" localSheetId="23">Resumen!$B$4:$N$23</definedName>
    <definedName name="DatosExternos_1" localSheetId="1" hidden="1">'Lotes App'!$A$1:$K$183</definedName>
    <definedName name="_xlnm.Print_Titles" localSheetId="23">Resumen!$1:$3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16" l="1"/>
  <c r="M23" i="16"/>
  <c r="L23" i="16"/>
  <c r="I23" i="16"/>
  <c r="K23" i="16" s="1"/>
  <c r="H23" i="16"/>
  <c r="G23" i="16"/>
  <c r="F23" i="16"/>
  <c r="E23" i="16"/>
  <c r="D23" i="16"/>
  <c r="C23" i="16"/>
  <c r="B23" i="16"/>
  <c r="N22" i="16"/>
  <c r="M22" i="16"/>
  <c r="L22" i="16"/>
  <c r="I22" i="16"/>
  <c r="K22" i="16" s="1"/>
  <c r="H22" i="16"/>
  <c r="G22" i="16"/>
  <c r="F22" i="16"/>
  <c r="E22" i="16"/>
  <c r="D22" i="16"/>
  <c r="C22" i="16"/>
  <c r="B22" i="16"/>
  <c r="N21" i="16"/>
  <c r="M21" i="16"/>
  <c r="L21" i="16"/>
  <c r="I21" i="16"/>
  <c r="H21" i="16"/>
  <c r="G21" i="16"/>
  <c r="F21" i="16"/>
  <c r="E21" i="16"/>
  <c r="D21" i="16"/>
  <c r="C21" i="16"/>
  <c r="B21" i="16"/>
  <c r="N20" i="16"/>
  <c r="M20" i="16"/>
  <c r="L20" i="16"/>
  <c r="I20" i="16"/>
  <c r="K20" i="16" s="1"/>
  <c r="H20" i="16"/>
  <c r="G20" i="16"/>
  <c r="F20" i="16"/>
  <c r="E20" i="16"/>
  <c r="D20" i="16"/>
  <c r="C20" i="16"/>
  <c r="B20" i="16"/>
  <c r="N19" i="16"/>
  <c r="M19" i="16"/>
  <c r="L19" i="16"/>
  <c r="I19" i="16"/>
  <c r="K19" i="16" s="1"/>
  <c r="H19" i="16"/>
  <c r="G19" i="16"/>
  <c r="F19" i="16"/>
  <c r="E19" i="16"/>
  <c r="D19" i="16"/>
  <c r="C19" i="16"/>
  <c r="B19" i="16"/>
  <c r="N18" i="16"/>
  <c r="M18" i="16"/>
  <c r="L18" i="16"/>
  <c r="I18" i="16"/>
  <c r="K18" i="16" s="1"/>
  <c r="H18" i="16"/>
  <c r="G18" i="16"/>
  <c r="F18" i="16"/>
  <c r="E18" i="16"/>
  <c r="D18" i="16"/>
  <c r="C18" i="16"/>
  <c r="B18" i="16"/>
  <c r="N17" i="16"/>
  <c r="M17" i="16"/>
  <c r="L17" i="16"/>
  <c r="I17" i="16"/>
  <c r="H17" i="16"/>
  <c r="G17" i="16"/>
  <c r="F17" i="16"/>
  <c r="E17" i="16"/>
  <c r="D17" i="16"/>
  <c r="C17" i="16"/>
  <c r="B17" i="16"/>
  <c r="N16" i="16"/>
  <c r="M16" i="16"/>
  <c r="L16" i="16"/>
  <c r="I16" i="16"/>
  <c r="K16" i="16" s="1"/>
  <c r="H16" i="16"/>
  <c r="G16" i="16"/>
  <c r="F16" i="16"/>
  <c r="E16" i="16"/>
  <c r="D16" i="16"/>
  <c r="C16" i="16"/>
  <c r="B16" i="16"/>
  <c r="N15" i="16"/>
  <c r="M15" i="16"/>
  <c r="L15" i="16"/>
  <c r="I15" i="16"/>
  <c r="K15" i="16" s="1"/>
  <c r="H15" i="16"/>
  <c r="G15" i="16"/>
  <c r="F15" i="16"/>
  <c r="E15" i="16"/>
  <c r="D15" i="16"/>
  <c r="C15" i="16"/>
  <c r="B15" i="16"/>
  <c r="N14" i="16"/>
  <c r="M14" i="16"/>
  <c r="L14" i="16"/>
  <c r="I14" i="16"/>
  <c r="K14" i="16" s="1"/>
  <c r="H14" i="16"/>
  <c r="G14" i="16"/>
  <c r="F14" i="16"/>
  <c r="E14" i="16"/>
  <c r="D14" i="16"/>
  <c r="C14" i="16"/>
  <c r="B14" i="16"/>
  <c r="N13" i="16"/>
  <c r="M13" i="16"/>
  <c r="L13" i="16"/>
  <c r="I13" i="16"/>
  <c r="H13" i="16"/>
  <c r="G13" i="16"/>
  <c r="F13" i="16"/>
  <c r="E13" i="16"/>
  <c r="D13" i="16"/>
  <c r="C13" i="16"/>
  <c r="B13" i="16"/>
  <c r="N12" i="16"/>
  <c r="M12" i="16"/>
  <c r="L12" i="16"/>
  <c r="I12" i="16"/>
  <c r="K12" i="16" s="1"/>
  <c r="H12" i="16"/>
  <c r="G12" i="16"/>
  <c r="F12" i="16"/>
  <c r="E12" i="16"/>
  <c r="D12" i="16"/>
  <c r="C12" i="16"/>
  <c r="B12" i="16"/>
  <c r="N11" i="16"/>
  <c r="M11" i="16"/>
  <c r="L11" i="16"/>
  <c r="I11" i="16"/>
  <c r="K11" i="16" s="1"/>
  <c r="H11" i="16"/>
  <c r="G11" i="16"/>
  <c r="F11" i="16"/>
  <c r="E11" i="16"/>
  <c r="D11" i="16"/>
  <c r="C11" i="16"/>
  <c r="B11" i="16"/>
  <c r="N10" i="16"/>
  <c r="M10" i="16"/>
  <c r="L10" i="16"/>
  <c r="I10" i="16"/>
  <c r="H10" i="16"/>
  <c r="G10" i="16"/>
  <c r="F10" i="16"/>
  <c r="E10" i="16"/>
  <c r="D10" i="16"/>
  <c r="C10" i="16"/>
  <c r="B10" i="16"/>
  <c r="N9" i="16"/>
  <c r="M9" i="16"/>
  <c r="L9" i="16"/>
  <c r="I9" i="16"/>
  <c r="H9" i="16"/>
  <c r="G9" i="16"/>
  <c r="F9" i="16"/>
  <c r="E9" i="16"/>
  <c r="D9" i="16"/>
  <c r="C9" i="16"/>
  <c r="B9" i="16"/>
  <c r="N8" i="16"/>
  <c r="M8" i="16"/>
  <c r="L8" i="16"/>
  <c r="I8" i="16"/>
  <c r="K8" i="16" s="1"/>
  <c r="H8" i="16"/>
  <c r="G8" i="16"/>
  <c r="F8" i="16"/>
  <c r="E8" i="16"/>
  <c r="D8" i="16"/>
  <c r="C8" i="16"/>
  <c r="B8" i="16"/>
  <c r="N7" i="16"/>
  <c r="M7" i="16"/>
  <c r="L7" i="16"/>
  <c r="I7" i="16"/>
  <c r="K7" i="16" s="1"/>
  <c r="H7" i="16"/>
  <c r="G7" i="16"/>
  <c r="F7" i="16"/>
  <c r="E7" i="16"/>
  <c r="D7" i="16"/>
  <c r="C7" i="16"/>
  <c r="B7" i="16"/>
  <c r="N6" i="16"/>
  <c r="M6" i="16"/>
  <c r="L6" i="16"/>
  <c r="I6" i="16"/>
  <c r="K6" i="16" s="1"/>
  <c r="H6" i="16"/>
  <c r="G6" i="16"/>
  <c r="F6" i="16"/>
  <c r="E6" i="16"/>
  <c r="D6" i="16"/>
  <c r="C6" i="16"/>
  <c r="B6" i="16"/>
  <c r="N5" i="16"/>
  <c r="M5" i="16"/>
  <c r="L5" i="16"/>
  <c r="I5" i="16"/>
  <c r="H5" i="16"/>
  <c r="G5" i="16"/>
  <c r="F5" i="16"/>
  <c r="E5" i="16"/>
  <c r="D5" i="16"/>
  <c r="C5" i="16"/>
  <c r="B5" i="16"/>
  <c r="K21" i="16"/>
  <c r="K17" i="16"/>
  <c r="K13" i="16"/>
  <c r="K10" i="16"/>
  <c r="K9" i="16"/>
  <c r="K5" i="16"/>
  <c r="AH27" i="194"/>
  <c r="AH26" i="194"/>
  <c r="X21" i="194"/>
  <c r="W21" i="194"/>
  <c r="V21" i="194"/>
  <c r="U21" i="194"/>
  <c r="T21" i="194"/>
  <c r="S21" i="194"/>
  <c r="R21" i="194"/>
  <c r="Q21" i="194"/>
  <c r="P21" i="194"/>
  <c r="O21" i="194"/>
  <c r="N21" i="194"/>
  <c r="M21" i="194"/>
  <c r="L21" i="194"/>
  <c r="K21" i="194"/>
  <c r="D11" i="194" s="1"/>
  <c r="F11" i="194" s="1"/>
  <c r="G11" i="194" s="1"/>
  <c r="J21" i="194"/>
  <c r="X20" i="194"/>
  <c r="W20" i="194"/>
  <c r="V20" i="194"/>
  <c r="U20" i="194"/>
  <c r="T20" i="194"/>
  <c r="S20" i="194"/>
  <c r="R20" i="194"/>
  <c r="Q20" i="194"/>
  <c r="P20" i="194"/>
  <c r="O20" i="194"/>
  <c r="N20" i="194"/>
  <c r="M20" i="194"/>
  <c r="L20" i="194"/>
  <c r="D10" i="194" s="1"/>
  <c r="K20" i="194"/>
  <c r="J20" i="194"/>
  <c r="X19" i="194"/>
  <c r="W19" i="194"/>
  <c r="V19" i="194"/>
  <c r="U19" i="194"/>
  <c r="T19" i="194"/>
  <c r="S19" i="194"/>
  <c r="R19" i="194"/>
  <c r="Q19" i="194"/>
  <c r="P19" i="194"/>
  <c r="O19" i="194"/>
  <c r="N19" i="194"/>
  <c r="M19" i="194"/>
  <c r="L19" i="194"/>
  <c r="K19" i="194"/>
  <c r="J19" i="194"/>
  <c r="D9" i="194" s="1"/>
  <c r="F9" i="194" s="1"/>
  <c r="G9" i="194" s="1"/>
  <c r="X18" i="194"/>
  <c r="W18" i="194"/>
  <c r="V18" i="194"/>
  <c r="U18" i="194"/>
  <c r="T18" i="194"/>
  <c r="S18" i="194"/>
  <c r="R18" i="194"/>
  <c r="Q18" i="194"/>
  <c r="P18" i="194"/>
  <c r="O18" i="194"/>
  <c r="N18" i="194"/>
  <c r="M18" i="194"/>
  <c r="L18" i="194"/>
  <c r="D8" i="194" s="1"/>
  <c r="K18" i="194"/>
  <c r="J18" i="194"/>
  <c r="AF17" i="194"/>
  <c r="AH17" i="194" s="1"/>
  <c r="AJ17" i="194" s="1"/>
  <c r="AL17" i="194" s="1"/>
  <c r="AN17" i="194" s="1"/>
  <c r="AD17" i="194"/>
  <c r="X17" i="194"/>
  <c r="W17" i="194"/>
  <c r="V17" i="194"/>
  <c r="U17" i="194"/>
  <c r="T17" i="194"/>
  <c r="S17" i="194"/>
  <c r="R17" i="194"/>
  <c r="Q17" i="194"/>
  <c r="P17" i="194"/>
  <c r="O17" i="194"/>
  <c r="N17" i="194"/>
  <c r="M17" i="194"/>
  <c r="D7" i="194" s="1"/>
  <c r="F7" i="194" s="1"/>
  <c r="G7" i="194" s="1"/>
  <c r="L17" i="194"/>
  <c r="K17" i="194"/>
  <c r="J17" i="194"/>
  <c r="AD16" i="194"/>
  <c r="AF16" i="194" s="1"/>
  <c r="AH16" i="194" s="1"/>
  <c r="AJ16" i="194" s="1"/>
  <c r="AL16" i="194" s="1"/>
  <c r="AN16" i="194" s="1"/>
  <c r="X16" i="194"/>
  <c r="W16" i="194"/>
  <c r="V16" i="194"/>
  <c r="U16" i="194"/>
  <c r="T16" i="194"/>
  <c r="S16" i="194"/>
  <c r="R16" i="194"/>
  <c r="Q16" i="194"/>
  <c r="P16" i="194"/>
  <c r="O16" i="194"/>
  <c r="N16" i="194"/>
  <c r="M16" i="194"/>
  <c r="L16" i="194"/>
  <c r="K16" i="194"/>
  <c r="J16" i="194"/>
  <c r="D6" i="194" s="1"/>
  <c r="F16" i="194"/>
  <c r="AD15" i="194"/>
  <c r="AF15" i="194" s="1"/>
  <c r="AH15" i="194" s="1"/>
  <c r="AJ15" i="194" s="1"/>
  <c r="AL15" i="194" s="1"/>
  <c r="AN15" i="194" s="1"/>
  <c r="AF14" i="194"/>
  <c r="AH14" i="194" s="1"/>
  <c r="AJ14" i="194" s="1"/>
  <c r="AL14" i="194" s="1"/>
  <c r="AN14" i="194" s="1"/>
  <c r="AD14" i="194"/>
  <c r="AF13" i="194"/>
  <c r="AH13" i="194" s="1"/>
  <c r="AJ13" i="194" s="1"/>
  <c r="AL13" i="194" s="1"/>
  <c r="AN13" i="194" s="1"/>
  <c r="AD13" i="194"/>
  <c r="AD12" i="194"/>
  <c r="AF12" i="194" s="1"/>
  <c r="AH12" i="194" s="1"/>
  <c r="AJ12" i="194" s="1"/>
  <c r="AL12" i="194" s="1"/>
  <c r="AN12" i="194" s="1"/>
  <c r="AF11" i="194"/>
  <c r="AH11" i="194" s="1"/>
  <c r="AJ11" i="194" s="1"/>
  <c r="AL11" i="194" s="1"/>
  <c r="AN11" i="194" s="1"/>
  <c r="AD11" i="194"/>
  <c r="E11" i="194"/>
  <c r="AD10" i="194"/>
  <c r="AF10" i="194" s="1"/>
  <c r="AH10" i="194" s="1"/>
  <c r="AJ10" i="194" s="1"/>
  <c r="AL10" i="194" s="1"/>
  <c r="AN10" i="194" s="1"/>
  <c r="AF9" i="194"/>
  <c r="AH9" i="194" s="1"/>
  <c r="AJ9" i="194" s="1"/>
  <c r="AL9" i="194" s="1"/>
  <c r="AN9" i="194" s="1"/>
  <c r="AD9" i="194"/>
  <c r="AD8" i="194"/>
  <c r="AF8" i="194" s="1"/>
  <c r="AH8" i="194" s="1"/>
  <c r="AJ8" i="194" s="1"/>
  <c r="AL8" i="194" s="1"/>
  <c r="AN8" i="194" s="1"/>
  <c r="AF7" i="194"/>
  <c r="AH7" i="194" s="1"/>
  <c r="AJ7" i="194" s="1"/>
  <c r="AL7" i="194" s="1"/>
  <c r="AN7" i="194" s="1"/>
  <c r="AD7" i="194"/>
  <c r="E7" i="194"/>
  <c r="AD6" i="194"/>
  <c r="AF6" i="194" s="1"/>
  <c r="AH6" i="194" s="1"/>
  <c r="AJ6" i="194" s="1"/>
  <c r="AL6" i="194" s="1"/>
  <c r="AN6" i="194" s="1"/>
  <c r="AM14" i="194"/>
  <c r="AM10" i="194"/>
  <c r="AM6" i="194"/>
  <c r="AM5" i="194" a="1"/>
  <c r="AM17" i="194" s="1"/>
  <c r="AK17" i="194"/>
  <c r="AK13" i="194"/>
  <c r="AK9" i="194"/>
  <c r="AK5" i="194"/>
  <c r="AK5" i="194" a="1"/>
  <c r="AK16" i="194" s="1"/>
  <c r="AI16" i="194"/>
  <c r="AI12" i="194"/>
  <c r="AI8" i="194"/>
  <c r="AI5" i="194" a="1"/>
  <c r="AG15" i="194"/>
  <c r="AG11" i="194"/>
  <c r="AG7" i="194"/>
  <c r="AG5" i="194" a="1"/>
  <c r="AG14" i="194" s="1"/>
  <c r="AF5" i="194"/>
  <c r="AH5" i="194" s="1"/>
  <c r="AJ5" i="194" s="1"/>
  <c r="AL5" i="194" s="1"/>
  <c r="AN5" i="194" s="1"/>
  <c r="AE15" i="194"/>
  <c r="AE14" i="194"/>
  <c r="AE11" i="194"/>
  <c r="AE10" i="194"/>
  <c r="AE7" i="194"/>
  <c r="AE6" i="194"/>
  <c r="AE5" i="194" a="1"/>
  <c r="AE17" i="194" s="1"/>
  <c r="AC16" i="194"/>
  <c r="AC12" i="194"/>
  <c r="AC8" i="194"/>
  <c r="AC5" i="194" a="1"/>
  <c r="AH27" i="193"/>
  <c r="AH26" i="193"/>
  <c r="X21" i="193"/>
  <c r="W21" i="193"/>
  <c r="V21" i="193"/>
  <c r="U21" i="193"/>
  <c r="T21" i="193"/>
  <c r="S21" i="193"/>
  <c r="R21" i="193"/>
  <c r="Q21" i="193"/>
  <c r="P21" i="193"/>
  <c r="O21" i="193"/>
  <c r="N21" i="193"/>
  <c r="M21" i="193"/>
  <c r="L21" i="193"/>
  <c r="K21" i="193"/>
  <c r="D11" i="193" s="1"/>
  <c r="F11" i="193" s="1"/>
  <c r="J21" i="193"/>
  <c r="X20" i="193"/>
  <c r="W20" i="193"/>
  <c r="V20" i="193"/>
  <c r="U20" i="193"/>
  <c r="T20" i="193"/>
  <c r="S20" i="193"/>
  <c r="R20" i="193"/>
  <c r="Q20" i="193"/>
  <c r="P20" i="193"/>
  <c r="O20" i="193"/>
  <c r="N20" i="193"/>
  <c r="M20" i="193"/>
  <c r="L20" i="193"/>
  <c r="D10" i="193" s="1"/>
  <c r="F10" i="193" s="1"/>
  <c r="K20" i="193"/>
  <c r="J20" i="193"/>
  <c r="X19" i="193"/>
  <c r="W19" i="193"/>
  <c r="V19" i="193"/>
  <c r="U19" i="193"/>
  <c r="T19" i="193"/>
  <c r="S19" i="193"/>
  <c r="R19" i="193"/>
  <c r="Q19" i="193"/>
  <c r="P19" i="193"/>
  <c r="O19" i="193"/>
  <c r="N19" i="193"/>
  <c r="M19" i="193"/>
  <c r="L19" i="193"/>
  <c r="K19" i="193"/>
  <c r="J19" i="193"/>
  <c r="D9" i="193" s="1"/>
  <c r="F9" i="193" s="1"/>
  <c r="G9" i="193" s="1"/>
  <c r="X18" i="193"/>
  <c r="W18" i="193"/>
  <c r="V18" i="193"/>
  <c r="U18" i="193"/>
  <c r="T18" i="193"/>
  <c r="S18" i="193"/>
  <c r="R18" i="193"/>
  <c r="Q18" i="193"/>
  <c r="P18" i="193"/>
  <c r="O18" i="193"/>
  <c r="N18" i="193"/>
  <c r="M18" i="193"/>
  <c r="L18" i="193"/>
  <c r="D8" i="193" s="1"/>
  <c r="K18" i="193"/>
  <c r="J18" i="193"/>
  <c r="AF17" i="193"/>
  <c r="AH17" i="193" s="1"/>
  <c r="AJ17" i="193" s="1"/>
  <c r="AL17" i="193" s="1"/>
  <c r="AN17" i="193" s="1"/>
  <c r="AD17" i="193"/>
  <c r="X17" i="193"/>
  <c r="W17" i="193"/>
  <c r="V17" i="193"/>
  <c r="U17" i="193"/>
  <c r="T17" i="193"/>
  <c r="S17" i="193"/>
  <c r="R17" i="193"/>
  <c r="Q17" i="193"/>
  <c r="P17" i="193"/>
  <c r="O17" i="193"/>
  <c r="N17" i="193"/>
  <c r="M17" i="193"/>
  <c r="D7" i="193" s="1"/>
  <c r="E7" i="193" s="1"/>
  <c r="L17" i="193"/>
  <c r="K17" i="193"/>
  <c r="J17" i="193"/>
  <c r="AD16" i="193"/>
  <c r="AF16" i="193" s="1"/>
  <c r="AH16" i="193" s="1"/>
  <c r="AJ16" i="193" s="1"/>
  <c r="AL16" i="193" s="1"/>
  <c r="AN16" i="193" s="1"/>
  <c r="X16" i="193"/>
  <c r="W16" i="193"/>
  <c r="V16" i="193"/>
  <c r="U16" i="193"/>
  <c r="T16" i="193"/>
  <c r="S16" i="193"/>
  <c r="R16" i="193"/>
  <c r="Q16" i="193"/>
  <c r="P16" i="193"/>
  <c r="O16" i="193"/>
  <c r="N16" i="193"/>
  <c r="M16" i="193"/>
  <c r="L16" i="193"/>
  <c r="K16" i="193"/>
  <c r="J16" i="193"/>
  <c r="F16" i="193"/>
  <c r="AD15" i="193"/>
  <c r="AF15" i="193" s="1"/>
  <c r="AH15" i="193" s="1"/>
  <c r="AJ15" i="193" s="1"/>
  <c r="AL15" i="193" s="1"/>
  <c r="AN15" i="193" s="1"/>
  <c r="AL14" i="193"/>
  <c r="AN14" i="193" s="1"/>
  <c r="AD14" i="193"/>
  <c r="AF14" i="193" s="1"/>
  <c r="AH14" i="193" s="1"/>
  <c r="AJ14" i="193" s="1"/>
  <c r="AF13" i="193"/>
  <c r="AH13" i="193" s="1"/>
  <c r="AJ13" i="193" s="1"/>
  <c r="AL13" i="193" s="1"/>
  <c r="AN13" i="193" s="1"/>
  <c r="AD13" i="193"/>
  <c r="AF12" i="193"/>
  <c r="AH12" i="193" s="1"/>
  <c r="AJ12" i="193" s="1"/>
  <c r="AL12" i="193" s="1"/>
  <c r="AN12" i="193" s="1"/>
  <c r="AD12" i="193"/>
  <c r="AJ11" i="193"/>
  <c r="AL11" i="193" s="1"/>
  <c r="AN11" i="193" s="1"/>
  <c r="AF11" i="193"/>
  <c r="AH11" i="193" s="1"/>
  <c r="AD11" i="193"/>
  <c r="G11" i="193"/>
  <c r="E11" i="193"/>
  <c r="AF10" i="193"/>
  <c r="AH10" i="193" s="1"/>
  <c r="AJ10" i="193" s="1"/>
  <c r="AL10" i="193" s="1"/>
  <c r="AN10" i="193" s="1"/>
  <c r="AD10" i="193"/>
  <c r="G10" i="193"/>
  <c r="E10" i="193"/>
  <c r="AF9" i="193"/>
  <c r="AH9" i="193" s="1"/>
  <c r="AJ9" i="193" s="1"/>
  <c r="AL9" i="193" s="1"/>
  <c r="AN9" i="193" s="1"/>
  <c r="AD9" i="193"/>
  <c r="AF8" i="193"/>
  <c r="AH8" i="193" s="1"/>
  <c r="AJ8" i="193" s="1"/>
  <c r="AL8" i="193" s="1"/>
  <c r="AN8" i="193" s="1"/>
  <c r="AD8" i="193"/>
  <c r="AD7" i="193"/>
  <c r="AF7" i="193" s="1"/>
  <c r="AH7" i="193" s="1"/>
  <c r="AJ7" i="193" s="1"/>
  <c r="AL7" i="193" s="1"/>
  <c r="AN7" i="193" s="1"/>
  <c r="G7" i="193"/>
  <c r="F7" i="193"/>
  <c r="AF6" i="193"/>
  <c r="AH6" i="193" s="1"/>
  <c r="AJ6" i="193" s="1"/>
  <c r="AL6" i="193" s="1"/>
  <c r="AN6" i="193" s="1"/>
  <c r="AD6" i="193"/>
  <c r="D6" i="193"/>
  <c r="AM16" i="193"/>
  <c r="AM8" i="193"/>
  <c r="AM5" i="193" a="1"/>
  <c r="AM11" i="193" s="1"/>
  <c r="AK15" i="193"/>
  <c r="AK14" i="193"/>
  <c r="AK11" i="193"/>
  <c r="AK10" i="193"/>
  <c r="AK7" i="193"/>
  <c r="AK6" i="193"/>
  <c r="AK5" i="193" a="1"/>
  <c r="AK17" i="193" s="1"/>
  <c r="AI17" i="193"/>
  <c r="AI15" i="193"/>
  <c r="AI14" i="193"/>
  <c r="AI13" i="193"/>
  <c r="AI11" i="193"/>
  <c r="AI10" i="193"/>
  <c r="AI9" i="193"/>
  <c r="AI7" i="193"/>
  <c r="AI6" i="193"/>
  <c r="AI5" i="193"/>
  <c r="AI5" i="193" a="1"/>
  <c r="AI16" i="193" s="1"/>
  <c r="AG17" i="193"/>
  <c r="AG9" i="193"/>
  <c r="AG5" i="193" a="1"/>
  <c r="AF5" i="193"/>
  <c r="AH5" i="193" s="1"/>
  <c r="AJ5" i="193" s="1"/>
  <c r="AL5" i="193" s="1"/>
  <c r="AN5" i="193" s="1"/>
  <c r="AE11" i="193"/>
  <c r="AE5" i="193" a="1"/>
  <c r="AC17" i="193"/>
  <c r="AC15" i="193"/>
  <c r="AC14" i="193"/>
  <c r="AC13" i="193"/>
  <c r="AC11" i="193"/>
  <c r="AC10" i="193"/>
  <c r="AC9" i="193"/>
  <c r="AC7" i="193"/>
  <c r="AC6" i="193"/>
  <c r="AC5" i="193"/>
  <c r="AC5" i="193" a="1"/>
  <c r="AC16" i="193" s="1"/>
  <c r="AH27" i="192"/>
  <c r="AH26" i="192"/>
  <c r="X21" i="192"/>
  <c r="W21" i="192"/>
  <c r="V21" i="192"/>
  <c r="U21" i="192"/>
  <c r="T21" i="192"/>
  <c r="S21" i="192"/>
  <c r="R21" i="192"/>
  <c r="Q21" i="192"/>
  <c r="P21" i="192"/>
  <c r="O21" i="192"/>
  <c r="N21" i="192"/>
  <c r="M21" i="192"/>
  <c r="L21" i="192"/>
  <c r="D11" i="192" s="1"/>
  <c r="E11" i="192" s="1"/>
  <c r="K21" i="192"/>
  <c r="J21" i="192"/>
  <c r="X20" i="192"/>
  <c r="W20" i="192"/>
  <c r="V20" i="192"/>
  <c r="U20" i="192"/>
  <c r="T20" i="192"/>
  <c r="S20" i="192"/>
  <c r="R20" i="192"/>
  <c r="Q20" i="192"/>
  <c r="P20" i="192"/>
  <c r="O20" i="192"/>
  <c r="N20" i="192"/>
  <c r="M20" i="192"/>
  <c r="L20" i="192"/>
  <c r="K20" i="192"/>
  <c r="J20" i="192"/>
  <c r="X19" i="192"/>
  <c r="W19" i="192"/>
  <c r="V19" i="192"/>
  <c r="U19" i="192"/>
  <c r="T19" i="192"/>
  <c r="S19" i="192"/>
  <c r="R19" i="192"/>
  <c r="Q19" i="192"/>
  <c r="P19" i="192"/>
  <c r="O19" i="192"/>
  <c r="N19" i="192"/>
  <c r="M19" i="192"/>
  <c r="L19" i="192"/>
  <c r="K19" i="192"/>
  <c r="D9" i="192" s="1"/>
  <c r="E9" i="192" s="1"/>
  <c r="J19" i="192"/>
  <c r="X18" i="192"/>
  <c r="W18" i="192"/>
  <c r="V18" i="192"/>
  <c r="U18" i="192"/>
  <c r="T18" i="192"/>
  <c r="S18" i="192"/>
  <c r="R18" i="192"/>
  <c r="Q18" i="192"/>
  <c r="P18" i="192"/>
  <c r="O18" i="192"/>
  <c r="N18" i="192"/>
  <c r="M18" i="192"/>
  <c r="L18" i="192"/>
  <c r="K18" i="192"/>
  <c r="J18" i="192"/>
  <c r="D8" i="192" s="1"/>
  <c r="AD17" i="192"/>
  <c r="AF17" i="192" s="1"/>
  <c r="AH17" i="192" s="1"/>
  <c r="AJ17" i="192" s="1"/>
  <c r="AL17" i="192" s="1"/>
  <c r="AN17" i="192" s="1"/>
  <c r="X17" i="192"/>
  <c r="W17" i="192"/>
  <c r="V17" i="192"/>
  <c r="U17" i="192"/>
  <c r="T17" i="192"/>
  <c r="S17" i="192"/>
  <c r="R17" i="192"/>
  <c r="Q17" i="192"/>
  <c r="P17" i="192"/>
  <c r="O17" i="192"/>
  <c r="N17" i="192"/>
  <c r="M17" i="192"/>
  <c r="L17" i="192"/>
  <c r="K17" i="192"/>
  <c r="J17" i="192"/>
  <c r="AD16" i="192"/>
  <c r="AF16" i="192" s="1"/>
  <c r="AH16" i="192" s="1"/>
  <c r="AJ16" i="192" s="1"/>
  <c r="AL16" i="192" s="1"/>
  <c r="AN16" i="192" s="1"/>
  <c r="X16" i="192"/>
  <c r="W16" i="192"/>
  <c r="V16" i="192"/>
  <c r="U16" i="192"/>
  <c r="T16" i="192"/>
  <c r="S16" i="192"/>
  <c r="R16" i="192"/>
  <c r="Q16" i="192"/>
  <c r="P16" i="192"/>
  <c r="O16" i="192"/>
  <c r="N16" i="192"/>
  <c r="M16" i="192"/>
  <c r="L16" i="192"/>
  <c r="K16" i="192"/>
  <c r="J16" i="192"/>
  <c r="F16" i="192"/>
  <c r="AF15" i="192"/>
  <c r="AH15" i="192" s="1"/>
  <c r="AJ15" i="192" s="1"/>
  <c r="AL15" i="192" s="1"/>
  <c r="AN15" i="192" s="1"/>
  <c r="AD15" i="192"/>
  <c r="AJ14" i="192"/>
  <c r="AL14" i="192" s="1"/>
  <c r="AN14" i="192" s="1"/>
  <c r="AD14" i="192"/>
  <c r="AF14" i="192" s="1"/>
  <c r="AH14" i="192" s="1"/>
  <c r="AH13" i="192"/>
  <c r="AJ13" i="192" s="1"/>
  <c r="AL13" i="192" s="1"/>
  <c r="AN13" i="192" s="1"/>
  <c r="AD13" i="192"/>
  <c r="AF13" i="192" s="1"/>
  <c r="AF12" i="192"/>
  <c r="AH12" i="192" s="1"/>
  <c r="AJ12" i="192" s="1"/>
  <c r="AL12" i="192" s="1"/>
  <c r="AN12" i="192" s="1"/>
  <c r="AD12" i="192"/>
  <c r="AD11" i="192"/>
  <c r="AF11" i="192" s="1"/>
  <c r="AH11" i="192" s="1"/>
  <c r="AJ11" i="192" s="1"/>
  <c r="AL11" i="192" s="1"/>
  <c r="AN11" i="192" s="1"/>
  <c r="AD10" i="192"/>
  <c r="AF10" i="192" s="1"/>
  <c r="AH10" i="192" s="1"/>
  <c r="AJ10" i="192" s="1"/>
  <c r="AL10" i="192" s="1"/>
  <c r="AN10" i="192" s="1"/>
  <c r="D10" i="192"/>
  <c r="F10" i="192" s="1"/>
  <c r="G10" i="192" s="1"/>
  <c r="AD9" i="192"/>
  <c r="AF9" i="192" s="1"/>
  <c r="AH9" i="192" s="1"/>
  <c r="AJ9" i="192" s="1"/>
  <c r="AL9" i="192" s="1"/>
  <c r="AN9" i="192" s="1"/>
  <c r="G9" i="192"/>
  <c r="F9" i="192"/>
  <c r="AF8" i="192"/>
  <c r="AH8" i="192" s="1"/>
  <c r="AJ8" i="192" s="1"/>
  <c r="AL8" i="192" s="1"/>
  <c r="AN8" i="192" s="1"/>
  <c r="AD8" i="192"/>
  <c r="AD7" i="192"/>
  <c r="AF7" i="192" s="1"/>
  <c r="AH7" i="192" s="1"/>
  <c r="AJ7" i="192" s="1"/>
  <c r="AL7" i="192" s="1"/>
  <c r="AN7" i="192" s="1"/>
  <c r="AD6" i="192"/>
  <c r="AF6" i="192" s="1"/>
  <c r="AH6" i="192" s="1"/>
  <c r="AJ6" i="192" s="1"/>
  <c r="AL6" i="192" s="1"/>
  <c r="AN6" i="192" s="1"/>
  <c r="D6" i="192"/>
  <c r="F6" i="192" s="1"/>
  <c r="AM16" i="192"/>
  <c r="AM15" i="192"/>
  <c r="AM11" i="192"/>
  <c r="AM8" i="192"/>
  <c r="AM7" i="192"/>
  <c r="AM5" i="192" a="1"/>
  <c r="AK15" i="192"/>
  <c r="AK14" i="192"/>
  <c r="AK11" i="192"/>
  <c r="AK10" i="192"/>
  <c r="AK7" i="192"/>
  <c r="AK6" i="192"/>
  <c r="AK5" i="192" a="1"/>
  <c r="AK17" i="192" s="1"/>
  <c r="AI17" i="192"/>
  <c r="AI15" i="192"/>
  <c r="AI14" i="192"/>
  <c r="AI13" i="192"/>
  <c r="AI11" i="192"/>
  <c r="AI10" i="192"/>
  <c r="AI9" i="192"/>
  <c r="AI7" i="192"/>
  <c r="AI6" i="192"/>
  <c r="AI5" i="192"/>
  <c r="AI5" i="192" a="1"/>
  <c r="AI16" i="192" s="1"/>
  <c r="AG16" i="192"/>
  <c r="AG8" i="192"/>
  <c r="AG5" i="192" a="1"/>
  <c r="AG17" i="192" s="1"/>
  <c r="AF5" i="192"/>
  <c r="AH5" i="192" s="1"/>
  <c r="AJ5" i="192" s="1"/>
  <c r="AL5" i="192" s="1"/>
  <c r="AN5" i="192" s="1"/>
  <c r="AE16" i="192"/>
  <c r="AE8" i="192"/>
  <c r="AE5" i="192" a="1"/>
  <c r="AE11" i="192" s="1"/>
  <c r="AC17" i="192"/>
  <c r="AC15" i="192"/>
  <c r="AC14" i="192"/>
  <c r="AC13" i="192"/>
  <c r="AC11" i="192"/>
  <c r="AC10" i="192"/>
  <c r="AC9" i="192"/>
  <c r="AC7" i="192"/>
  <c r="AC6" i="192"/>
  <c r="AC5" i="192"/>
  <c r="AC5" i="192" a="1"/>
  <c r="AC16" i="192" s="1"/>
  <c r="AH27" i="191"/>
  <c r="AH26" i="191"/>
  <c r="X21" i="191"/>
  <c r="W21" i="191"/>
  <c r="V21" i="191"/>
  <c r="U21" i="191"/>
  <c r="T21" i="191"/>
  <c r="S21" i="191"/>
  <c r="R21" i="191"/>
  <c r="Q21" i="191"/>
  <c r="P21" i="191"/>
  <c r="O21" i="191"/>
  <c r="N21" i="191"/>
  <c r="M21" i="191"/>
  <c r="L21" i="191"/>
  <c r="K21" i="191"/>
  <c r="J21" i="191"/>
  <c r="D11" i="191" s="1"/>
  <c r="E11" i="191" s="1"/>
  <c r="X20" i="191"/>
  <c r="W20" i="191"/>
  <c r="V20" i="191"/>
  <c r="U20" i="191"/>
  <c r="T20" i="191"/>
  <c r="S20" i="191"/>
  <c r="R20" i="191"/>
  <c r="Q20" i="191"/>
  <c r="P20" i="191"/>
  <c r="O20" i="191"/>
  <c r="N20" i="191"/>
  <c r="M20" i="191"/>
  <c r="L20" i="191"/>
  <c r="K20" i="191"/>
  <c r="D10" i="191" s="1"/>
  <c r="F10" i="191" s="1"/>
  <c r="G10" i="191" s="1"/>
  <c r="J20" i="191"/>
  <c r="X19" i="191"/>
  <c r="W19" i="191"/>
  <c r="V19" i="191"/>
  <c r="U19" i="191"/>
  <c r="T19" i="191"/>
  <c r="S19" i="191"/>
  <c r="R19" i="191"/>
  <c r="Q19" i="191"/>
  <c r="P19" i="191"/>
  <c r="O19" i="191"/>
  <c r="N19" i="191"/>
  <c r="M19" i="191"/>
  <c r="L19" i="191"/>
  <c r="K19" i="191"/>
  <c r="J19" i="191"/>
  <c r="X18" i="191"/>
  <c r="W18" i="191"/>
  <c r="V18" i="191"/>
  <c r="U18" i="191"/>
  <c r="T18" i="191"/>
  <c r="S18" i="191"/>
  <c r="R18" i="191"/>
  <c r="Q18" i="191"/>
  <c r="P18" i="191"/>
  <c r="O18" i="191"/>
  <c r="N18" i="191"/>
  <c r="M18" i="191"/>
  <c r="L18" i="191"/>
  <c r="K18" i="191"/>
  <c r="J18" i="191"/>
  <c r="D8" i="191" s="1"/>
  <c r="AD17" i="191"/>
  <c r="AF17" i="191" s="1"/>
  <c r="AH17" i="191" s="1"/>
  <c r="AJ17" i="191" s="1"/>
  <c r="AL17" i="191" s="1"/>
  <c r="AN17" i="191" s="1"/>
  <c r="X17" i="191"/>
  <c r="W17" i="191"/>
  <c r="V17" i="191"/>
  <c r="U17" i="191"/>
  <c r="T17" i="191"/>
  <c r="S17" i="191"/>
  <c r="R17" i="191"/>
  <c r="Q17" i="191"/>
  <c r="P17" i="191"/>
  <c r="O17" i="191"/>
  <c r="N17" i="191"/>
  <c r="M17" i="191"/>
  <c r="L17" i="191"/>
  <c r="K17" i="191"/>
  <c r="J17" i="191"/>
  <c r="AF16" i="191"/>
  <c r="AH16" i="191" s="1"/>
  <c r="AJ16" i="191" s="1"/>
  <c r="AL16" i="191" s="1"/>
  <c r="AN16" i="191" s="1"/>
  <c r="AD16" i="191"/>
  <c r="X16" i="191"/>
  <c r="W16" i="191"/>
  <c r="V16" i="191"/>
  <c r="U16" i="191"/>
  <c r="T16" i="191"/>
  <c r="S16" i="191"/>
  <c r="R16" i="191"/>
  <c r="Q16" i="191"/>
  <c r="P16" i="191"/>
  <c r="O16" i="191"/>
  <c r="N16" i="191"/>
  <c r="M16" i="191"/>
  <c r="L16" i="191"/>
  <c r="D6" i="191" s="1"/>
  <c r="K16" i="191"/>
  <c r="J16" i="191"/>
  <c r="F16" i="191"/>
  <c r="AF15" i="191"/>
  <c r="AH15" i="191" s="1"/>
  <c r="AJ15" i="191" s="1"/>
  <c r="AL15" i="191" s="1"/>
  <c r="AN15" i="191" s="1"/>
  <c r="AD15" i="191"/>
  <c r="AD14" i="191"/>
  <c r="AF14" i="191" s="1"/>
  <c r="AH14" i="191" s="1"/>
  <c r="AJ14" i="191" s="1"/>
  <c r="AL14" i="191" s="1"/>
  <c r="AN14" i="191" s="1"/>
  <c r="AH13" i="191"/>
  <c r="AJ13" i="191" s="1"/>
  <c r="AL13" i="191" s="1"/>
  <c r="AN13" i="191" s="1"/>
  <c r="AD13" i="191"/>
  <c r="AF13" i="191" s="1"/>
  <c r="AH12" i="191"/>
  <c r="AJ12" i="191" s="1"/>
  <c r="AL12" i="191" s="1"/>
  <c r="AN12" i="191" s="1"/>
  <c r="AD12" i="191"/>
  <c r="AF12" i="191" s="1"/>
  <c r="AD11" i="191"/>
  <c r="AF11" i="191" s="1"/>
  <c r="AH11" i="191" s="1"/>
  <c r="AJ11" i="191" s="1"/>
  <c r="AL11" i="191" s="1"/>
  <c r="AN11" i="191" s="1"/>
  <c r="F11" i="191"/>
  <c r="G11" i="191" s="1"/>
  <c r="AD10" i="191"/>
  <c r="AF10" i="191" s="1"/>
  <c r="AH10" i="191" s="1"/>
  <c r="AJ10" i="191" s="1"/>
  <c r="AL10" i="191" s="1"/>
  <c r="AN10" i="191" s="1"/>
  <c r="E10" i="191"/>
  <c r="AH9" i="191"/>
  <c r="AJ9" i="191" s="1"/>
  <c r="AL9" i="191" s="1"/>
  <c r="AN9" i="191" s="1"/>
  <c r="AD9" i="191"/>
  <c r="AF9" i="191" s="1"/>
  <c r="D9" i="191"/>
  <c r="AF8" i="191"/>
  <c r="AH8" i="191" s="1"/>
  <c r="AJ8" i="191" s="1"/>
  <c r="AL8" i="191" s="1"/>
  <c r="AN8" i="191" s="1"/>
  <c r="AD8" i="191"/>
  <c r="AD7" i="191"/>
  <c r="AF7" i="191" s="1"/>
  <c r="AH7" i="191" s="1"/>
  <c r="AJ7" i="191" s="1"/>
  <c r="AL7" i="191" s="1"/>
  <c r="AN7" i="191" s="1"/>
  <c r="AN6" i="191"/>
  <c r="AD6" i="191"/>
  <c r="AF6" i="191" s="1"/>
  <c r="AH6" i="191" s="1"/>
  <c r="AJ6" i="191" s="1"/>
  <c r="AL6" i="191" s="1"/>
  <c r="AM17" i="191"/>
  <c r="AM12" i="191"/>
  <c r="AM7" i="191"/>
  <c r="AM5" i="191" a="1"/>
  <c r="AM13" i="191" s="1"/>
  <c r="AK16" i="191"/>
  <c r="AK14" i="191"/>
  <c r="AK11" i="191"/>
  <c r="AK8" i="191"/>
  <c r="AK6" i="191"/>
  <c r="AK5" i="191" a="1"/>
  <c r="AK12" i="191" s="1"/>
  <c r="AI17" i="191"/>
  <c r="AI15" i="191"/>
  <c r="AI14" i="191"/>
  <c r="AI13" i="191"/>
  <c r="AI11" i="191"/>
  <c r="AI10" i="191"/>
  <c r="AI9" i="191"/>
  <c r="AI7" i="191"/>
  <c r="AI6" i="191"/>
  <c r="AI5" i="191"/>
  <c r="AI5" i="191" a="1"/>
  <c r="AI16" i="191" s="1"/>
  <c r="AG16" i="191"/>
  <c r="AG13" i="191"/>
  <c r="AG10" i="191"/>
  <c r="AG8" i="191"/>
  <c r="AG5" i="191"/>
  <c r="AG5" i="191" a="1"/>
  <c r="AG17" i="191" s="1"/>
  <c r="AF5" i="191"/>
  <c r="AH5" i="191" s="1"/>
  <c r="AJ5" i="191" s="1"/>
  <c r="AL5" i="191" s="1"/>
  <c r="AN5" i="191" s="1"/>
  <c r="AE16" i="191"/>
  <c r="AE13" i="191"/>
  <c r="AE11" i="191"/>
  <c r="AE8" i="191"/>
  <c r="AE5" i="191"/>
  <c r="AE5" i="191" a="1"/>
  <c r="AE17" i="191" s="1"/>
  <c r="AC17" i="191"/>
  <c r="AC15" i="191"/>
  <c r="AC14" i="191"/>
  <c r="AC13" i="191"/>
  <c r="AC11" i="191"/>
  <c r="AC10" i="191"/>
  <c r="AC9" i="191"/>
  <c r="AC7" i="191"/>
  <c r="AC6" i="191"/>
  <c r="AC5" i="191"/>
  <c r="AC5" i="191" a="1"/>
  <c r="AC16" i="191" s="1"/>
  <c r="AH27" i="190"/>
  <c r="AH26" i="190"/>
  <c r="X21" i="190"/>
  <c r="W21" i="190"/>
  <c r="V21" i="190"/>
  <c r="U21" i="190"/>
  <c r="T21" i="190"/>
  <c r="S21" i="190"/>
  <c r="R21" i="190"/>
  <c r="Q21" i="190"/>
  <c r="P21" i="190"/>
  <c r="O21" i="190"/>
  <c r="N21" i="190"/>
  <c r="M21" i="190"/>
  <c r="L21" i="190"/>
  <c r="K21" i="190"/>
  <c r="D11" i="190" s="1"/>
  <c r="J21" i="190"/>
  <c r="X20" i="190"/>
  <c r="W20" i="190"/>
  <c r="V20" i="190"/>
  <c r="U20" i="190"/>
  <c r="T20" i="190"/>
  <c r="S20" i="190"/>
  <c r="R20" i="190"/>
  <c r="Q20" i="190"/>
  <c r="P20" i="190"/>
  <c r="O20" i="190"/>
  <c r="N20" i="190"/>
  <c r="M20" i="190"/>
  <c r="L20" i="190"/>
  <c r="K20" i="190"/>
  <c r="J20" i="190"/>
  <c r="X19" i="190"/>
  <c r="W19" i="190"/>
  <c r="V19" i="190"/>
  <c r="U19" i="190"/>
  <c r="T19" i="190"/>
  <c r="S19" i="190"/>
  <c r="R19" i="190"/>
  <c r="Q19" i="190"/>
  <c r="P19" i="190"/>
  <c r="O19" i="190"/>
  <c r="N19" i="190"/>
  <c r="M19" i="190"/>
  <c r="L19" i="190"/>
  <c r="K19" i="190"/>
  <c r="J19" i="190"/>
  <c r="X18" i="190"/>
  <c r="W18" i="190"/>
  <c r="V18" i="190"/>
  <c r="U18" i="190"/>
  <c r="T18" i="190"/>
  <c r="S18" i="190"/>
  <c r="R18" i="190"/>
  <c r="Q18" i="190"/>
  <c r="P18" i="190"/>
  <c r="O18" i="190"/>
  <c r="N18" i="190"/>
  <c r="M18" i="190"/>
  <c r="D8" i="190" s="1"/>
  <c r="L18" i="190"/>
  <c r="K18" i="190"/>
  <c r="J18" i="190"/>
  <c r="AF17" i="190"/>
  <c r="AH17" i="190" s="1"/>
  <c r="AJ17" i="190" s="1"/>
  <c r="AL17" i="190" s="1"/>
  <c r="AN17" i="190" s="1"/>
  <c r="AD17" i="190"/>
  <c r="X17" i="190"/>
  <c r="W17" i="190"/>
  <c r="V17" i="190"/>
  <c r="U17" i="190"/>
  <c r="T17" i="190"/>
  <c r="S17" i="190"/>
  <c r="R17" i="190"/>
  <c r="Q17" i="190"/>
  <c r="P17" i="190"/>
  <c r="O17" i="190"/>
  <c r="N17" i="190"/>
  <c r="M17" i="190"/>
  <c r="L17" i="190"/>
  <c r="K17" i="190"/>
  <c r="J17" i="190"/>
  <c r="AD16" i="190"/>
  <c r="AF16" i="190" s="1"/>
  <c r="AH16" i="190" s="1"/>
  <c r="AJ16" i="190" s="1"/>
  <c r="AL16" i="190" s="1"/>
  <c r="AN16" i="190" s="1"/>
  <c r="X16" i="190"/>
  <c r="W16" i="190"/>
  <c r="V16" i="190"/>
  <c r="U16" i="190"/>
  <c r="T16" i="190"/>
  <c r="S16" i="190"/>
  <c r="R16" i="190"/>
  <c r="Q16" i="190"/>
  <c r="P16" i="190"/>
  <c r="O16" i="190"/>
  <c r="N16" i="190"/>
  <c r="M16" i="190"/>
  <c r="L16" i="190"/>
  <c r="K16" i="190"/>
  <c r="D6" i="190" s="1"/>
  <c r="J16" i="190"/>
  <c r="F16" i="190"/>
  <c r="AD15" i="190"/>
  <c r="AF15" i="190" s="1"/>
  <c r="AH15" i="190" s="1"/>
  <c r="AJ15" i="190" s="1"/>
  <c r="AL15" i="190" s="1"/>
  <c r="AN15" i="190" s="1"/>
  <c r="AD14" i="190"/>
  <c r="AF14" i="190" s="1"/>
  <c r="AH14" i="190" s="1"/>
  <c r="AJ14" i="190" s="1"/>
  <c r="AL14" i="190" s="1"/>
  <c r="AN14" i="190" s="1"/>
  <c r="AF13" i="190"/>
  <c r="AH13" i="190" s="1"/>
  <c r="AJ13" i="190" s="1"/>
  <c r="AL13" i="190" s="1"/>
  <c r="AN13" i="190" s="1"/>
  <c r="AD13" i="190"/>
  <c r="AD12" i="190"/>
  <c r="AF12" i="190" s="1"/>
  <c r="AH12" i="190" s="1"/>
  <c r="AJ12" i="190" s="1"/>
  <c r="AL12" i="190" s="1"/>
  <c r="AN12" i="190" s="1"/>
  <c r="AF11" i="190"/>
  <c r="AH11" i="190" s="1"/>
  <c r="AJ11" i="190" s="1"/>
  <c r="AL11" i="190" s="1"/>
  <c r="AN11" i="190" s="1"/>
  <c r="AD11" i="190"/>
  <c r="G11" i="190"/>
  <c r="F11" i="190"/>
  <c r="E11" i="190"/>
  <c r="AD10" i="190"/>
  <c r="AF10" i="190" s="1"/>
  <c r="AH10" i="190" s="1"/>
  <c r="AJ10" i="190" s="1"/>
  <c r="AL10" i="190" s="1"/>
  <c r="AN10" i="190" s="1"/>
  <c r="G10" i="190"/>
  <c r="D10" i="190"/>
  <c r="F10" i="190" s="1"/>
  <c r="AF9" i="190"/>
  <c r="AH9" i="190" s="1"/>
  <c r="AJ9" i="190" s="1"/>
  <c r="AL9" i="190" s="1"/>
  <c r="AN9" i="190" s="1"/>
  <c r="AD9" i="190"/>
  <c r="AD8" i="190"/>
  <c r="AF8" i="190" s="1"/>
  <c r="AH8" i="190" s="1"/>
  <c r="AJ8" i="190" s="1"/>
  <c r="AL8" i="190" s="1"/>
  <c r="AN8" i="190" s="1"/>
  <c r="AN7" i="190"/>
  <c r="AF7" i="190"/>
  <c r="AH7" i="190" s="1"/>
  <c r="AJ7" i="190" s="1"/>
  <c r="AL7" i="190" s="1"/>
  <c r="AD7" i="190"/>
  <c r="AD6" i="190"/>
  <c r="AF6" i="190" s="1"/>
  <c r="AH6" i="190" s="1"/>
  <c r="AJ6" i="190" s="1"/>
  <c r="AL6" i="190" s="1"/>
  <c r="AN6" i="190" s="1"/>
  <c r="AM12" i="190"/>
  <c r="AM7" i="190"/>
  <c r="AM5" i="190" a="1"/>
  <c r="AM14" i="190" s="1"/>
  <c r="AK17" i="190"/>
  <c r="AK15" i="190"/>
  <c r="AK14" i="190"/>
  <c r="AK13" i="190"/>
  <c r="AK11" i="190"/>
  <c r="AK10" i="190"/>
  <c r="AK9" i="190"/>
  <c r="AK7" i="190"/>
  <c r="AK6" i="190"/>
  <c r="AK5" i="190"/>
  <c r="AK5" i="190" a="1"/>
  <c r="AK16" i="190" s="1"/>
  <c r="AI17" i="190"/>
  <c r="AI5" i="190" a="1"/>
  <c r="AG16" i="190"/>
  <c r="AG13" i="190"/>
  <c r="AG11" i="190"/>
  <c r="AG8" i="190"/>
  <c r="AG5" i="190"/>
  <c r="AG5" i="190" a="1"/>
  <c r="AG17" i="190" s="1"/>
  <c r="AF5" i="190"/>
  <c r="AH5" i="190" s="1"/>
  <c r="AJ5" i="190" s="1"/>
  <c r="AL5" i="190" s="1"/>
  <c r="AN5" i="190" s="1"/>
  <c r="AE5" i="190" a="1"/>
  <c r="AC17" i="190"/>
  <c r="AC16" i="190"/>
  <c r="AC13" i="190"/>
  <c r="AC12" i="190"/>
  <c r="AC10" i="190"/>
  <c r="AC8" i="190"/>
  <c r="AC6" i="190"/>
  <c r="AC5" i="190"/>
  <c r="AC5" i="190" a="1"/>
  <c r="AH27" i="189"/>
  <c r="AH26" i="189"/>
  <c r="X21" i="189"/>
  <c r="W21" i="189"/>
  <c r="V21" i="189"/>
  <c r="U21" i="189"/>
  <c r="T21" i="189"/>
  <c r="S21" i="189"/>
  <c r="R21" i="189"/>
  <c r="Q21" i="189"/>
  <c r="P21" i="189"/>
  <c r="O21" i="189"/>
  <c r="N21" i="189"/>
  <c r="M21" i="189"/>
  <c r="L21" i="189"/>
  <c r="K21" i="189"/>
  <c r="J21" i="189"/>
  <c r="X20" i="189"/>
  <c r="W20" i="189"/>
  <c r="V20" i="189"/>
  <c r="U20" i="189"/>
  <c r="T20" i="189"/>
  <c r="S20" i="189"/>
  <c r="R20" i="189"/>
  <c r="Q20" i="189"/>
  <c r="P20" i="189"/>
  <c r="O20" i="189"/>
  <c r="N20" i="189"/>
  <c r="M20" i="189"/>
  <c r="L20" i="189"/>
  <c r="K20" i="189"/>
  <c r="J20" i="189"/>
  <c r="X19" i="189"/>
  <c r="W19" i="189"/>
  <c r="V19" i="189"/>
  <c r="U19" i="189"/>
  <c r="T19" i="189"/>
  <c r="S19" i="189"/>
  <c r="R19" i="189"/>
  <c r="Q19" i="189"/>
  <c r="P19" i="189"/>
  <c r="O19" i="189"/>
  <c r="N19" i="189"/>
  <c r="M19" i="189"/>
  <c r="L19" i="189"/>
  <c r="K19" i="189"/>
  <c r="J19" i="189"/>
  <c r="X18" i="189"/>
  <c r="W18" i="189"/>
  <c r="V18" i="189"/>
  <c r="U18" i="189"/>
  <c r="T18" i="189"/>
  <c r="S18" i="189"/>
  <c r="R18" i="189"/>
  <c r="Q18" i="189"/>
  <c r="P18" i="189"/>
  <c r="O18" i="189"/>
  <c r="N18" i="189"/>
  <c r="M18" i="189"/>
  <c r="L18" i="189"/>
  <c r="K18" i="189"/>
  <c r="J18" i="189"/>
  <c r="AH17" i="189"/>
  <c r="AJ17" i="189" s="1"/>
  <c r="AL17" i="189" s="1"/>
  <c r="AN17" i="189" s="1"/>
  <c r="AF17" i="189"/>
  <c r="AD17" i="189"/>
  <c r="X17" i="189"/>
  <c r="W17" i="189"/>
  <c r="V17" i="189"/>
  <c r="U17" i="189"/>
  <c r="T17" i="189"/>
  <c r="S17" i="189"/>
  <c r="R17" i="189"/>
  <c r="Q17" i="189"/>
  <c r="P17" i="189"/>
  <c r="O17" i="189"/>
  <c r="N17" i="189"/>
  <c r="M17" i="189"/>
  <c r="L17" i="189"/>
  <c r="K17" i="189"/>
  <c r="J17" i="189"/>
  <c r="AD16" i="189"/>
  <c r="AF16" i="189" s="1"/>
  <c r="AH16" i="189" s="1"/>
  <c r="AJ16" i="189" s="1"/>
  <c r="AL16" i="189" s="1"/>
  <c r="AN16" i="189" s="1"/>
  <c r="X16" i="189"/>
  <c r="W16" i="189"/>
  <c r="V16" i="189"/>
  <c r="U16" i="189"/>
  <c r="T16" i="189"/>
  <c r="S16" i="189"/>
  <c r="R16" i="189"/>
  <c r="Q16" i="189"/>
  <c r="P16" i="189"/>
  <c r="O16" i="189"/>
  <c r="N16" i="189"/>
  <c r="M16" i="189"/>
  <c r="L16" i="189"/>
  <c r="K16" i="189"/>
  <c r="J16" i="189"/>
  <c r="F16" i="189"/>
  <c r="AF15" i="189"/>
  <c r="AH15" i="189" s="1"/>
  <c r="AJ15" i="189" s="1"/>
  <c r="AL15" i="189" s="1"/>
  <c r="AN15" i="189" s="1"/>
  <c r="AD15" i="189"/>
  <c r="AD14" i="189"/>
  <c r="AF14" i="189" s="1"/>
  <c r="AH14" i="189" s="1"/>
  <c r="AJ14" i="189" s="1"/>
  <c r="AL14" i="189" s="1"/>
  <c r="AN14" i="189" s="1"/>
  <c r="AF13" i="189"/>
  <c r="AH13" i="189" s="1"/>
  <c r="AJ13" i="189" s="1"/>
  <c r="AL13" i="189" s="1"/>
  <c r="AN13" i="189" s="1"/>
  <c r="AD13" i="189"/>
  <c r="AD12" i="189"/>
  <c r="AF12" i="189" s="1"/>
  <c r="AH12" i="189" s="1"/>
  <c r="AJ12" i="189" s="1"/>
  <c r="AL12" i="189" s="1"/>
  <c r="AN12" i="189" s="1"/>
  <c r="AF11" i="189"/>
  <c r="AH11" i="189" s="1"/>
  <c r="AJ11" i="189" s="1"/>
  <c r="AL11" i="189" s="1"/>
  <c r="AN11" i="189" s="1"/>
  <c r="AD11" i="189"/>
  <c r="AF10" i="189"/>
  <c r="AH10" i="189" s="1"/>
  <c r="AJ10" i="189" s="1"/>
  <c r="AL10" i="189" s="1"/>
  <c r="AN10" i="189" s="1"/>
  <c r="AD10" i="189"/>
  <c r="D10" i="189"/>
  <c r="AF9" i="189"/>
  <c r="AH9" i="189" s="1"/>
  <c r="AJ9" i="189" s="1"/>
  <c r="AL9" i="189" s="1"/>
  <c r="AN9" i="189" s="1"/>
  <c r="AD9" i="189"/>
  <c r="AF8" i="189"/>
  <c r="AH8" i="189" s="1"/>
  <c r="AJ8" i="189" s="1"/>
  <c r="AL8" i="189" s="1"/>
  <c r="AN8" i="189" s="1"/>
  <c r="AD8" i="189"/>
  <c r="D8" i="189"/>
  <c r="AD7" i="189"/>
  <c r="AF7" i="189" s="1"/>
  <c r="AH7" i="189" s="1"/>
  <c r="AJ7" i="189" s="1"/>
  <c r="AL7" i="189" s="1"/>
  <c r="AN7" i="189" s="1"/>
  <c r="D7" i="189"/>
  <c r="AD6" i="189"/>
  <c r="AF6" i="189" s="1"/>
  <c r="AH6" i="189" s="1"/>
  <c r="AJ6" i="189" s="1"/>
  <c r="AL6" i="189" s="1"/>
  <c r="AN6" i="189" s="1"/>
  <c r="AM17" i="189"/>
  <c r="AM15" i="189"/>
  <c r="AM13" i="189"/>
  <c r="AM11" i="189"/>
  <c r="AM9" i="189"/>
  <c r="AM7" i="189"/>
  <c r="AM5" i="189"/>
  <c r="AM5" i="189" a="1"/>
  <c r="AM14" i="189" s="1"/>
  <c r="AK16" i="189"/>
  <c r="AK14" i="189"/>
  <c r="AK8" i="189"/>
  <c r="AK6" i="189"/>
  <c r="AK5" i="189" a="1"/>
  <c r="AK10" i="189" s="1"/>
  <c r="AI17" i="189"/>
  <c r="AI15" i="189"/>
  <c r="AI14" i="189"/>
  <c r="AI13" i="189"/>
  <c r="AI11" i="189"/>
  <c r="AI10" i="189"/>
  <c r="AI9" i="189"/>
  <c r="AI7" i="189"/>
  <c r="AI6" i="189"/>
  <c r="AI5" i="189"/>
  <c r="AI5" i="189" a="1"/>
  <c r="AI16" i="189" s="1"/>
  <c r="AG12" i="189"/>
  <c r="AG5" i="189" a="1"/>
  <c r="AF5" i="189"/>
  <c r="AH5" i="189" s="1"/>
  <c r="AJ5" i="189" s="1"/>
  <c r="AL5" i="189" s="1"/>
  <c r="AN5" i="189" s="1"/>
  <c r="AE17" i="189"/>
  <c r="AE15" i="189"/>
  <c r="AE13" i="189"/>
  <c r="AE11" i="189"/>
  <c r="AE9" i="189"/>
  <c r="AE7" i="189"/>
  <c r="AE5" i="189"/>
  <c r="AE5" i="189" a="1"/>
  <c r="AE14" i="189" s="1"/>
  <c r="AC17" i="189"/>
  <c r="AC15" i="189"/>
  <c r="AC14" i="189"/>
  <c r="AC13" i="189"/>
  <c r="AC11" i="189"/>
  <c r="AC10" i="189"/>
  <c r="AC9" i="189"/>
  <c r="AC7" i="189"/>
  <c r="AC6" i="189"/>
  <c r="AC5" i="189"/>
  <c r="AC5" i="189" a="1"/>
  <c r="AC16" i="189" s="1"/>
  <c r="AH27" i="188"/>
  <c r="AH26" i="188"/>
  <c r="X21" i="188"/>
  <c r="W21" i="188"/>
  <c r="V21" i="188"/>
  <c r="U21" i="188"/>
  <c r="T21" i="188"/>
  <c r="S21" i="188"/>
  <c r="R21" i="188"/>
  <c r="Q21" i="188"/>
  <c r="P21" i="188"/>
  <c r="O21" i="188"/>
  <c r="N21" i="188"/>
  <c r="M21" i="188"/>
  <c r="L21" i="188"/>
  <c r="K21" i="188"/>
  <c r="J21" i="188"/>
  <c r="X20" i="188"/>
  <c r="W20" i="188"/>
  <c r="V20" i="188"/>
  <c r="U20" i="188"/>
  <c r="T20" i="188"/>
  <c r="S20" i="188"/>
  <c r="R20" i="188"/>
  <c r="Q20" i="188"/>
  <c r="P20" i="188"/>
  <c r="O20" i="188"/>
  <c r="N20" i="188"/>
  <c r="M20" i="188"/>
  <c r="L20" i="188"/>
  <c r="K20" i="188"/>
  <c r="D10" i="188" s="1"/>
  <c r="E10" i="188" s="1"/>
  <c r="J20" i="188"/>
  <c r="X19" i="188"/>
  <c r="W19" i="188"/>
  <c r="V19" i="188"/>
  <c r="U19" i="188"/>
  <c r="T19" i="188"/>
  <c r="S19" i="188"/>
  <c r="R19" i="188"/>
  <c r="Q19" i="188"/>
  <c r="P19" i="188"/>
  <c r="O19" i="188"/>
  <c r="N19" i="188"/>
  <c r="M19" i="188"/>
  <c r="L19" i="188"/>
  <c r="K19" i="188"/>
  <c r="J19" i="188"/>
  <c r="X18" i="188"/>
  <c r="W18" i="188"/>
  <c r="V18" i="188"/>
  <c r="U18" i="188"/>
  <c r="T18" i="188"/>
  <c r="S18" i="188"/>
  <c r="R18" i="188"/>
  <c r="Q18" i="188"/>
  <c r="P18" i="188"/>
  <c r="O18" i="188"/>
  <c r="N18" i="188"/>
  <c r="M18" i="188"/>
  <c r="L18" i="188"/>
  <c r="K18" i="188"/>
  <c r="J18" i="188"/>
  <c r="D8" i="188" s="1"/>
  <c r="E8" i="188" s="1"/>
  <c r="AH17" i="188"/>
  <c r="AJ17" i="188" s="1"/>
  <c r="AL17" i="188" s="1"/>
  <c r="AN17" i="188" s="1"/>
  <c r="AD17" i="188"/>
  <c r="AF17" i="188" s="1"/>
  <c r="X17" i="188"/>
  <c r="W17" i="188"/>
  <c r="V17" i="188"/>
  <c r="U17" i="188"/>
  <c r="T17" i="188"/>
  <c r="S17" i="188"/>
  <c r="R17" i="188"/>
  <c r="Q17" i="188"/>
  <c r="P17" i="188"/>
  <c r="O17" i="188"/>
  <c r="N17" i="188"/>
  <c r="M17" i="188"/>
  <c r="L17" i="188"/>
  <c r="K17" i="188"/>
  <c r="J17" i="188"/>
  <c r="AF16" i="188"/>
  <c r="AH16" i="188" s="1"/>
  <c r="AJ16" i="188" s="1"/>
  <c r="AL16" i="188" s="1"/>
  <c r="AN16" i="188" s="1"/>
  <c r="AD16" i="188"/>
  <c r="X16" i="188"/>
  <c r="W16" i="188"/>
  <c r="V16" i="188"/>
  <c r="U16" i="188"/>
  <c r="T16" i="188"/>
  <c r="S16" i="188"/>
  <c r="R16" i="188"/>
  <c r="Q16" i="188"/>
  <c r="P16" i="188"/>
  <c r="O16" i="188"/>
  <c r="N16" i="188"/>
  <c r="M16" i="188"/>
  <c r="D6" i="188" s="1"/>
  <c r="L16" i="188"/>
  <c r="K16" i="188"/>
  <c r="J16" i="188"/>
  <c r="F16" i="188"/>
  <c r="AJ15" i="188"/>
  <c r="AL15" i="188" s="1"/>
  <c r="AN15" i="188" s="1"/>
  <c r="AD15" i="188"/>
  <c r="AF15" i="188" s="1"/>
  <c r="AH15" i="188" s="1"/>
  <c r="AF14" i="188"/>
  <c r="AH14" i="188" s="1"/>
  <c r="AJ14" i="188" s="1"/>
  <c r="AL14" i="188" s="1"/>
  <c r="AN14" i="188" s="1"/>
  <c r="AD14" i="188"/>
  <c r="AD13" i="188"/>
  <c r="AF13" i="188" s="1"/>
  <c r="AH13" i="188" s="1"/>
  <c r="AJ13" i="188" s="1"/>
  <c r="AL13" i="188" s="1"/>
  <c r="AN13" i="188" s="1"/>
  <c r="AF12" i="188"/>
  <c r="AH12" i="188" s="1"/>
  <c r="AJ12" i="188" s="1"/>
  <c r="AL12" i="188" s="1"/>
  <c r="AN12" i="188" s="1"/>
  <c r="AD12" i="188"/>
  <c r="AD11" i="188"/>
  <c r="AF11" i="188" s="1"/>
  <c r="AH11" i="188" s="1"/>
  <c r="AJ11" i="188" s="1"/>
  <c r="AL11" i="188" s="1"/>
  <c r="AN11" i="188" s="1"/>
  <c r="D11" i="188"/>
  <c r="AF10" i="188"/>
  <c r="AH10" i="188" s="1"/>
  <c r="AJ10" i="188" s="1"/>
  <c r="AL10" i="188" s="1"/>
  <c r="AN10" i="188" s="1"/>
  <c r="AD10" i="188"/>
  <c r="F10" i="188"/>
  <c r="G10" i="188" s="1"/>
  <c r="AD9" i="188"/>
  <c r="AF9" i="188" s="1"/>
  <c r="AH9" i="188" s="1"/>
  <c r="AJ9" i="188" s="1"/>
  <c r="AL9" i="188" s="1"/>
  <c r="AN9" i="188" s="1"/>
  <c r="D9" i="188"/>
  <c r="AH8" i="188"/>
  <c r="AJ8" i="188" s="1"/>
  <c r="AL8" i="188" s="1"/>
  <c r="AN8" i="188" s="1"/>
  <c r="AF8" i="188"/>
  <c r="AD8" i="188"/>
  <c r="F8" i="188"/>
  <c r="G8" i="188" s="1"/>
  <c r="AL7" i="188"/>
  <c r="AN7" i="188" s="1"/>
  <c r="AD7" i="188"/>
  <c r="AF7" i="188" s="1"/>
  <c r="AH7" i="188" s="1"/>
  <c r="AJ7" i="188" s="1"/>
  <c r="D7" i="188"/>
  <c r="AH6" i="188"/>
  <c r="AJ6" i="188" s="1"/>
  <c r="AL6" i="188" s="1"/>
  <c r="AN6" i="188" s="1"/>
  <c r="AF6" i="188"/>
  <c r="AD6" i="188"/>
  <c r="AM17" i="188"/>
  <c r="AM13" i="188"/>
  <c r="AM9" i="188"/>
  <c r="AM5" i="188"/>
  <c r="AM5" i="188" a="1"/>
  <c r="AM16" i="188" s="1"/>
  <c r="AK5" i="188" a="1"/>
  <c r="AI15" i="188"/>
  <c r="AI14" i="188"/>
  <c r="AI11" i="188"/>
  <c r="AI10" i="188"/>
  <c r="AI7" i="188"/>
  <c r="AI6" i="188"/>
  <c r="AI5" i="188" a="1"/>
  <c r="AI17" i="188" s="1"/>
  <c r="AG17" i="188"/>
  <c r="AG15" i="188"/>
  <c r="AG14" i="188"/>
  <c r="AG13" i="188"/>
  <c r="AG11" i="188"/>
  <c r="AG10" i="188"/>
  <c r="AG9" i="188"/>
  <c r="AG7" i="188"/>
  <c r="AG6" i="188"/>
  <c r="AG5" i="188"/>
  <c r="AG5" i="188" a="1"/>
  <c r="AG16" i="188" s="1"/>
  <c r="AF5" i="188"/>
  <c r="AH5" i="188" s="1"/>
  <c r="AJ5" i="188" s="1"/>
  <c r="AL5" i="188" s="1"/>
  <c r="AN5" i="188" s="1"/>
  <c r="AE17" i="188"/>
  <c r="AE13" i="188"/>
  <c r="AE9" i="188"/>
  <c r="AE5" i="188"/>
  <c r="AE5" i="188" a="1"/>
  <c r="AE16" i="188" s="1"/>
  <c r="AC15" i="188"/>
  <c r="AC14" i="188"/>
  <c r="AC11" i="188"/>
  <c r="AC10" i="188"/>
  <c r="AC7" i="188"/>
  <c r="AC6" i="188"/>
  <c r="AC5" i="188" a="1"/>
  <c r="AC17" i="188" s="1"/>
  <c r="AH27" i="187"/>
  <c r="AH26" i="187"/>
  <c r="X21" i="187"/>
  <c r="W21" i="187"/>
  <c r="V21" i="187"/>
  <c r="U21" i="187"/>
  <c r="T21" i="187"/>
  <c r="S21" i="187"/>
  <c r="R21" i="187"/>
  <c r="Q21" i="187"/>
  <c r="P21" i="187"/>
  <c r="O21" i="187"/>
  <c r="N21" i="187"/>
  <c r="M21" i="187"/>
  <c r="D11" i="187" s="1"/>
  <c r="E11" i="187" s="1"/>
  <c r="L21" i="187"/>
  <c r="K21" i="187"/>
  <c r="J21" i="187"/>
  <c r="X20" i="187"/>
  <c r="W20" i="187"/>
  <c r="V20" i="187"/>
  <c r="U20" i="187"/>
  <c r="T20" i="187"/>
  <c r="S20" i="187"/>
  <c r="R20" i="187"/>
  <c r="Q20" i="187"/>
  <c r="P20" i="187"/>
  <c r="O20" i="187"/>
  <c r="N20" i="187"/>
  <c r="M20" i="187"/>
  <c r="L20" i="187"/>
  <c r="K20" i="187"/>
  <c r="J20" i="187"/>
  <c r="X19" i="187"/>
  <c r="W19" i="187"/>
  <c r="V19" i="187"/>
  <c r="U19" i="187"/>
  <c r="T19" i="187"/>
  <c r="S19" i="187"/>
  <c r="R19" i="187"/>
  <c r="Q19" i="187"/>
  <c r="P19" i="187"/>
  <c r="O19" i="187"/>
  <c r="N19" i="187"/>
  <c r="M19" i="187"/>
  <c r="L19" i="187"/>
  <c r="K19" i="187"/>
  <c r="D9" i="187" s="1"/>
  <c r="E9" i="187" s="1"/>
  <c r="J19" i="187"/>
  <c r="X18" i="187"/>
  <c r="W18" i="187"/>
  <c r="V18" i="187"/>
  <c r="U18" i="187"/>
  <c r="T18" i="187"/>
  <c r="S18" i="187"/>
  <c r="R18" i="187"/>
  <c r="Q18" i="187"/>
  <c r="P18" i="187"/>
  <c r="O18" i="187"/>
  <c r="N18" i="187"/>
  <c r="M18" i="187"/>
  <c r="D8" i="187" s="1"/>
  <c r="L18" i="187"/>
  <c r="K18" i="187"/>
  <c r="J18" i="187"/>
  <c r="AF17" i="187"/>
  <c r="AH17" i="187" s="1"/>
  <c r="AJ17" i="187" s="1"/>
  <c r="AL17" i="187" s="1"/>
  <c r="AN17" i="187" s="1"/>
  <c r="AD17" i="187"/>
  <c r="X17" i="187"/>
  <c r="W17" i="187"/>
  <c r="V17" i="187"/>
  <c r="U17" i="187"/>
  <c r="T17" i="187"/>
  <c r="S17" i="187"/>
  <c r="R17" i="187"/>
  <c r="Q17" i="187"/>
  <c r="P17" i="187"/>
  <c r="O17" i="187"/>
  <c r="N17" i="187"/>
  <c r="M17" i="187"/>
  <c r="L17" i="187"/>
  <c r="K17" i="187"/>
  <c r="J17" i="187"/>
  <c r="AD16" i="187"/>
  <c r="AF16" i="187" s="1"/>
  <c r="AH16" i="187" s="1"/>
  <c r="AJ16" i="187" s="1"/>
  <c r="AL16" i="187" s="1"/>
  <c r="AN16" i="187" s="1"/>
  <c r="X16" i="187"/>
  <c r="W16" i="187"/>
  <c r="V16" i="187"/>
  <c r="U16" i="187"/>
  <c r="T16" i="187"/>
  <c r="S16" i="187"/>
  <c r="R16" i="187"/>
  <c r="Q16" i="187"/>
  <c r="P16" i="187"/>
  <c r="O16" i="187"/>
  <c r="N16" i="187"/>
  <c r="M16" i="187"/>
  <c r="L16" i="187"/>
  <c r="K16" i="187"/>
  <c r="J16" i="187"/>
  <c r="F16" i="187"/>
  <c r="AF15" i="187"/>
  <c r="AH15" i="187" s="1"/>
  <c r="AJ15" i="187" s="1"/>
  <c r="AL15" i="187" s="1"/>
  <c r="AN15" i="187" s="1"/>
  <c r="AD15" i="187"/>
  <c r="AJ14" i="187"/>
  <c r="AL14" i="187" s="1"/>
  <c r="AN14" i="187" s="1"/>
  <c r="AD14" i="187"/>
  <c r="AF14" i="187" s="1"/>
  <c r="AH14" i="187" s="1"/>
  <c r="AF13" i="187"/>
  <c r="AH13" i="187" s="1"/>
  <c r="AJ13" i="187" s="1"/>
  <c r="AL13" i="187" s="1"/>
  <c r="AN13" i="187" s="1"/>
  <c r="AD13" i="187"/>
  <c r="AD12" i="187"/>
  <c r="AF12" i="187" s="1"/>
  <c r="AH12" i="187" s="1"/>
  <c r="AJ12" i="187" s="1"/>
  <c r="AL12" i="187" s="1"/>
  <c r="AN12" i="187" s="1"/>
  <c r="AF11" i="187"/>
  <c r="AH11" i="187" s="1"/>
  <c r="AJ11" i="187" s="1"/>
  <c r="AL11" i="187" s="1"/>
  <c r="AN11" i="187" s="1"/>
  <c r="AD11" i="187"/>
  <c r="F11" i="187"/>
  <c r="G11" i="187" s="1"/>
  <c r="AD10" i="187"/>
  <c r="AF10" i="187" s="1"/>
  <c r="AH10" i="187" s="1"/>
  <c r="AJ10" i="187" s="1"/>
  <c r="AL10" i="187" s="1"/>
  <c r="AN10" i="187" s="1"/>
  <c r="D10" i="187"/>
  <c r="AF9" i="187"/>
  <c r="AH9" i="187" s="1"/>
  <c r="AJ9" i="187" s="1"/>
  <c r="AL9" i="187" s="1"/>
  <c r="AN9" i="187" s="1"/>
  <c r="AD9" i="187"/>
  <c r="F9" i="187"/>
  <c r="G9" i="187" s="1"/>
  <c r="AD8" i="187"/>
  <c r="AF8" i="187" s="1"/>
  <c r="AH8" i="187" s="1"/>
  <c r="AJ8" i="187" s="1"/>
  <c r="AL8" i="187" s="1"/>
  <c r="AN8" i="187" s="1"/>
  <c r="AF7" i="187"/>
  <c r="AH7" i="187" s="1"/>
  <c r="AJ7" i="187" s="1"/>
  <c r="AL7" i="187" s="1"/>
  <c r="AN7" i="187" s="1"/>
  <c r="AD7" i="187"/>
  <c r="AD6" i="187"/>
  <c r="AF6" i="187" s="1"/>
  <c r="AH6" i="187" s="1"/>
  <c r="AJ6" i="187" s="1"/>
  <c r="AL6" i="187" s="1"/>
  <c r="AN6" i="187" s="1"/>
  <c r="D6" i="187"/>
  <c r="AM15" i="187"/>
  <c r="AM11" i="187"/>
  <c r="AM7" i="187"/>
  <c r="AM5" i="187" a="1"/>
  <c r="AM14" i="187" s="1"/>
  <c r="AK15" i="187"/>
  <c r="AK14" i="187"/>
  <c r="AK11" i="187"/>
  <c r="AK10" i="187"/>
  <c r="AK7" i="187"/>
  <c r="AK6" i="187"/>
  <c r="AK5" i="187" a="1"/>
  <c r="AK17" i="187" s="1"/>
  <c r="AI17" i="187"/>
  <c r="AI14" i="187"/>
  <c r="AI13" i="187"/>
  <c r="AI10" i="187"/>
  <c r="AI9" i="187"/>
  <c r="AI6" i="187"/>
  <c r="AI5" i="187"/>
  <c r="AI5" i="187" a="1"/>
  <c r="AI16" i="187" s="1"/>
  <c r="AG12" i="187"/>
  <c r="AG8" i="187"/>
  <c r="AG5" i="187" a="1"/>
  <c r="AG16" i="187" s="1"/>
  <c r="AF5" i="187"/>
  <c r="AH5" i="187" s="1"/>
  <c r="AJ5" i="187" s="1"/>
  <c r="AL5" i="187" s="1"/>
  <c r="AN5" i="187" s="1"/>
  <c r="AE15" i="187"/>
  <c r="AE11" i="187"/>
  <c r="AE7" i="187"/>
  <c r="AE5" i="187" a="1"/>
  <c r="AE14" i="187" s="1"/>
  <c r="AC17" i="187"/>
  <c r="AC14" i="187"/>
  <c r="AC13" i="187"/>
  <c r="AC10" i="187"/>
  <c r="AC9" i="187"/>
  <c r="AC6" i="187"/>
  <c r="AC5" i="187"/>
  <c r="AC5" i="187" a="1"/>
  <c r="AC16" i="187" s="1"/>
  <c r="AH27" i="186"/>
  <c r="AH26" i="186"/>
  <c r="X21" i="186"/>
  <c r="W21" i="186"/>
  <c r="V21" i="186"/>
  <c r="U21" i="186"/>
  <c r="T21" i="186"/>
  <c r="S21" i="186"/>
  <c r="R21" i="186"/>
  <c r="Q21" i="186"/>
  <c r="P21" i="186"/>
  <c r="O21" i="186"/>
  <c r="N21" i="186"/>
  <c r="M21" i="186"/>
  <c r="L21" i="186"/>
  <c r="D11" i="186" s="1"/>
  <c r="E11" i="186" s="1"/>
  <c r="K21" i="186"/>
  <c r="J21" i="186"/>
  <c r="X20" i="186"/>
  <c r="W20" i="186"/>
  <c r="V20" i="186"/>
  <c r="U20" i="186"/>
  <c r="T20" i="186"/>
  <c r="S20" i="186"/>
  <c r="R20" i="186"/>
  <c r="Q20" i="186"/>
  <c r="P20" i="186"/>
  <c r="O20" i="186"/>
  <c r="N20" i="186"/>
  <c r="M20" i="186"/>
  <c r="L20" i="186"/>
  <c r="K20" i="186"/>
  <c r="J20" i="186"/>
  <c r="X19" i="186"/>
  <c r="W19" i="186"/>
  <c r="V19" i="186"/>
  <c r="U19" i="186"/>
  <c r="T19" i="186"/>
  <c r="S19" i="186"/>
  <c r="R19" i="186"/>
  <c r="Q19" i="186"/>
  <c r="P19" i="186"/>
  <c r="O19" i="186"/>
  <c r="N19" i="186"/>
  <c r="M19" i="186"/>
  <c r="L19" i="186"/>
  <c r="K19" i="186"/>
  <c r="D9" i="186" s="1"/>
  <c r="E9" i="186" s="1"/>
  <c r="J19" i="186"/>
  <c r="X18" i="186"/>
  <c r="W18" i="186"/>
  <c r="V18" i="186"/>
  <c r="U18" i="186"/>
  <c r="T18" i="186"/>
  <c r="S18" i="186"/>
  <c r="R18" i="186"/>
  <c r="Q18" i="186"/>
  <c r="P18" i="186"/>
  <c r="O18" i="186"/>
  <c r="N18" i="186"/>
  <c r="M18" i="186"/>
  <c r="L18" i="186"/>
  <c r="K18" i="186"/>
  <c r="J18" i="186"/>
  <c r="AF17" i="186"/>
  <c r="AH17" i="186" s="1"/>
  <c r="AJ17" i="186" s="1"/>
  <c r="AL17" i="186" s="1"/>
  <c r="AN17" i="186" s="1"/>
  <c r="AD17" i="186"/>
  <c r="X17" i="186"/>
  <c r="W17" i="186"/>
  <c r="V17" i="186"/>
  <c r="U17" i="186"/>
  <c r="T17" i="186"/>
  <c r="S17" i="186"/>
  <c r="R17" i="186"/>
  <c r="Q17" i="186"/>
  <c r="P17" i="186"/>
  <c r="O17" i="186"/>
  <c r="N17" i="186"/>
  <c r="M17" i="186"/>
  <c r="L17" i="186"/>
  <c r="K17" i="186"/>
  <c r="J17" i="186"/>
  <c r="D7" i="186" s="1"/>
  <c r="E7" i="186" s="1"/>
  <c r="AJ16" i="186"/>
  <c r="AL16" i="186" s="1"/>
  <c r="AN16" i="186" s="1"/>
  <c r="AD16" i="186"/>
  <c r="AF16" i="186" s="1"/>
  <c r="AH16" i="186" s="1"/>
  <c r="X16" i="186"/>
  <c r="W16" i="186"/>
  <c r="V16" i="186"/>
  <c r="U16" i="186"/>
  <c r="T16" i="186"/>
  <c r="S16" i="186"/>
  <c r="R16" i="186"/>
  <c r="Q16" i="186"/>
  <c r="P16" i="186"/>
  <c r="O16" i="186"/>
  <c r="N16" i="186"/>
  <c r="M16" i="186"/>
  <c r="L16" i="186"/>
  <c r="K16" i="186"/>
  <c r="D6" i="186" s="1"/>
  <c r="J16" i="186"/>
  <c r="F16" i="186"/>
  <c r="AF15" i="186"/>
  <c r="AH15" i="186" s="1"/>
  <c r="AJ15" i="186" s="1"/>
  <c r="AL15" i="186" s="1"/>
  <c r="AN15" i="186" s="1"/>
  <c r="AD15" i="186"/>
  <c r="AD14" i="186"/>
  <c r="AF14" i="186" s="1"/>
  <c r="AH14" i="186" s="1"/>
  <c r="AJ14" i="186" s="1"/>
  <c r="AL14" i="186" s="1"/>
  <c r="AN14" i="186" s="1"/>
  <c r="AF13" i="186"/>
  <c r="AH13" i="186" s="1"/>
  <c r="AJ13" i="186" s="1"/>
  <c r="AL13" i="186" s="1"/>
  <c r="AN13" i="186" s="1"/>
  <c r="AD13" i="186"/>
  <c r="AL12" i="186"/>
  <c r="AN12" i="186" s="1"/>
  <c r="AD12" i="186"/>
  <c r="AF12" i="186" s="1"/>
  <c r="AH12" i="186" s="1"/>
  <c r="AJ12" i="186" s="1"/>
  <c r="AF11" i="186"/>
  <c r="AH11" i="186" s="1"/>
  <c r="AJ11" i="186" s="1"/>
  <c r="AL11" i="186" s="1"/>
  <c r="AN11" i="186" s="1"/>
  <c r="AD11" i="186"/>
  <c r="F11" i="186"/>
  <c r="G11" i="186" s="1"/>
  <c r="AD10" i="186"/>
  <c r="AF10" i="186" s="1"/>
  <c r="AH10" i="186" s="1"/>
  <c r="AJ10" i="186" s="1"/>
  <c r="AL10" i="186" s="1"/>
  <c r="AN10" i="186" s="1"/>
  <c r="D10" i="186"/>
  <c r="AH9" i="186"/>
  <c r="AJ9" i="186" s="1"/>
  <c r="AL9" i="186" s="1"/>
  <c r="AN9" i="186" s="1"/>
  <c r="AF9" i="186"/>
  <c r="AD9" i="186"/>
  <c r="F9" i="186"/>
  <c r="G9" i="186" s="1"/>
  <c r="AD8" i="186"/>
  <c r="AF8" i="186" s="1"/>
  <c r="AH8" i="186" s="1"/>
  <c r="AJ8" i="186" s="1"/>
  <c r="AL8" i="186" s="1"/>
  <c r="AN8" i="186" s="1"/>
  <c r="D8" i="186"/>
  <c r="AD7" i="186"/>
  <c r="AF7" i="186" s="1"/>
  <c r="AH7" i="186" s="1"/>
  <c r="AJ7" i="186" s="1"/>
  <c r="AL7" i="186" s="1"/>
  <c r="AN7" i="186" s="1"/>
  <c r="AL6" i="186"/>
  <c r="AN6" i="186" s="1"/>
  <c r="AD6" i="186"/>
  <c r="AF6" i="186" s="1"/>
  <c r="AH6" i="186" s="1"/>
  <c r="AJ6" i="186" s="1"/>
  <c r="AM15" i="186"/>
  <c r="AM11" i="186"/>
  <c r="AM7" i="186"/>
  <c r="AM5" i="186" a="1"/>
  <c r="AM14" i="186" s="1"/>
  <c r="AK15" i="186"/>
  <c r="AK14" i="186"/>
  <c r="AK11" i="186"/>
  <c r="AK10" i="186"/>
  <c r="AK7" i="186"/>
  <c r="AK6" i="186"/>
  <c r="AK5" i="186" a="1"/>
  <c r="AK17" i="186" s="1"/>
  <c r="AI17" i="186"/>
  <c r="AI14" i="186"/>
  <c r="AI13" i="186"/>
  <c r="AI10" i="186"/>
  <c r="AI9" i="186"/>
  <c r="AI6" i="186"/>
  <c r="AI5" i="186"/>
  <c r="AI5" i="186" a="1"/>
  <c r="AI16" i="186" s="1"/>
  <c r="AG16" i="186"/>
  <c r="AG12" i="186"/>
  <c r="AG8" i="186"/>
  <c r="AG5" i="186" a="1"/>
  <c r="AF5" i="186"/>
  <c r="AH5" i="186" s="1"/>
  <c r="AJ5" i="186" s="1"/>
  <c r="AL5" i="186" s="1"/>
  <c r="AN5" i="186" s="1"/>
  <c r="AE15" i="186"/>
  <c r="AE11" i="186"/>
  <c r="AE7" i="186"/>
  <c r="AE5" i="186" a="1"/>
  <c r="AE14" i="186" s="1"/>
  <c r="AC17" i="186"/>
  <c r="AC14" i="186"/>
  <c r="AC13" i="186"/>
  <c r="AC10" i="186"/>
  <c r="AC9" i="186"/>
  <c r="AC6" i="186"/>
  <c r="AC5" i="186"/>
  <c r="AC5" i="186" a="1"/>
  <c r="AC16" i="186" s="1"/>
  <c r="AH27" i="185"/>
  <c r="AH26" i="185"/>
  <c r="X21" i="185"/>
  <c r="W21" i="185"/>
  <c r="V21" i="185"/>
  <c r="U21" i="185"/>
  <c r="T21" i="185"/>
  <c r="S21" i="185"/>
  <c r="R21" i="185"/>
  <c r="Q21" i="185"/>
  <c r="P21" i="185"/>
  <c r="O21" i="185"/>
  <c r="N21" i="185"/>
  <c r="M21" i="185"/>
  <c r="L21" i="185"/>
  <c r="D11" i="185" s="1"/>
  <c r="E11" i="185" s="1"/>
  <c r="K21" i="185"/>
  <c r="J21" i="185"/>
  <c r="X20" i="185"/>
  <c r="W20" i="185"/>
  <c r="V20" i="185"/>
  <c r="U20" i="185"/>
  <c r="T20" i="185"/>
  <c r="S20" i="185"/>
  <c r="R20" i="185"/>
  <c r="Q20" i="185"/>
  <c r="P20" i="185"/>
  <c r="O20" i="185"/>
  <c r="N20" i="185"/>
  <c r="M20" i="185"/>
  <c r="L20" i="185"/>
  <c r="K20" i="185"/>
  <c r="J20" i="185"/>
  <c r="X19" i="185"/>
  <c r="W19" i="185"/>
  <c r="V19" i="185"/>
  <c r="U19" i="185"/>
  <c r="T19" i="185"/>
  <c r="S19" i="185"/>
  <c r="R19" i="185"/>
  <c r="Q19" i="185"/>
  <c r="P19" i="185"/>
  <c r="O19" i="185"/>
  <c r="N19" i="185"/>
  <c r="M19" i="185"/>
  <c r="L19" i="185"/>
  <c r="K19" i="185"/>
  <c r="D9" i="185" s="1"/>
  <c r="E9" i="185" s="1"/>
  <c r="J19" i="185"/>
  <c r="X18" i="185"/>
  <c r="W18" i="185"/>
  <c r="V18" i="185"/>
  <c r="U18" i="185"/>
  <c r="T18" i="185"/>
  <c r="S18" i="185"/>
  <c r="R18" i="185"/>
  <c r="Q18" i="185"/>
  <c r="P18" i="185"/>
  <c r="O18" i="185"/>
  <c r="N18" i="185"/>
  <c r="M18" i="185"/>
  <c r="L18" i="185"/>
  <c r="K18" i="185"/>
  <c r="J18" i="185"/>
  <c r="AF17" i="185"/>
  <c r="AH17" i="185" s="1"/>
  <c r="AJ17" i="185" s="1"/>
  <c r="AL17" i="185" s="1"/>
  <c r="AN17" i="185" s="1"/>
  <c r="AD17" i="185"/>
  <c r="X17" i="185"/>
  <c r="W17" i="185"/>
  <c r="V17" i="185"/>
  <c r="U17" i="185"/>
  <c r="T17" i="185"/>
  <c r="S17" i="185"/>
  <c r="R17" i="185"/>
  <c r="Q17" i="185"/>
  <c r="P17" i="185"/>
  <c r="O17" i="185"/>
  <c r="N17" i="185"/>
  <c r="M17" i="185"/>
  <c r="L17" i="185"/>
  <c r="K17" i="185"/>
  <c r="J17" i="185"/>
  <c r="D7" i="185" s="1"/>
  <c r="E7" i="185" s="1"/>
  <c r="AD16" i="185"/>
  <c r="AF16" i="185" s="1"/>
  <c r="AH16" i="185" s="1"/>
  <c r="AJ16" i="185" s="1"/>
  <c r="AL16" i="185" s="1"/>
  <c r="AN16" i="185" s="1"/>
  <c r="X16" i="185"/>
  <c r="W16" i="185"/>
  <c r="V16" i="185"/>
  <c r="U16" i="185"/>
  <c r="T16" i="185"/>
  <c r="S16" i="185"/>
  <c r="R16" i="185"/>
  <c r="Q16" i="185"/>
  <c r="P16" i="185"/>
  <c r="O16" i="185"/>
  <c r="N16" i="185"/>
  <c r="M16" i="185"/>
  <c r="L16" i="185"/>
  <c r="K16" i="185"/>
  <c r="J16" i="185"/>
  <c r="F16" i="185"/>
  <c r="AF15" i="185"/>
  <c r="AH15" i="185" s="1"/>
  <c r="AJ15" i="185" s="1"/>
  <c r="AL15" i="185" s="1"/>
  <c r="AN15" i="185" s="1"/>
  <c r="AD15" i="185"/>
  <c r="AJ14" i="185"/>
  <c r="AL14" i="185" s="1"/>
  <c r="AN14" i="185" s="1"/>
  <c r="AD14" i="185"/>
  <c r="AF14" i="185" s="1"/>
  <c r="AH14" i="185" s="1"/>
  <c r="AD13" i="185"/>
  <c r="AF13" i="185" s="1"/>
  <c r="AH13" i="185" s="1"/>
  <c r="AJ13" i="185" s="1"/>
  <c r="AL13" i="185" s="1"/>
  <c r="AN13" i="185" s="1"/>
  <c r="AD12" i="185"/>
  <c r="AF12" i="185" s="1"/>
  <c r="AH12" i="185" s="1"/>
  <c r="AJ12" i="185" s="1"/>
  <c r="AL12" i="185" s="1"/>
  <c r="AN12" i="185" s="1"/>
  <c r="AD11" i="185"/>
  <c r="AF11" i="185" s="1"/>
  <c r="AH11" i="185" s="1"/>
  <c r="AJ11" i="185" s="1"/>
  <c r="AL11" i="185" s="1"/>
  <c r="AN11" i="185" s="1"/>
  <c r="F11" i="185"/>
  <c r="G11" i="185" s="1"/>
  <c r="AD10" i="185"/>
  <c r="AF10" i="185" s="1"/>
  <c r="AH10" i="185" s="1"/>
  <c r="AJ10" i="185" s="1"/>
  <c r="AL10" i="185" s="1"/>
  <c r="AN10" i="185" s="1"/>
  <c r="D10" i="185"/>
  <c r="AD9" i="185"/>
  <c r="AF9" i="185" s="1"/>
  <c r="AH9" i="185" s="1"/>
  <c r="AJ9" i="185" s="1"/>
  <c r="AL9" i="185" s="1"/>
  <c r="AN9" i="185" s="1"/>
  <c r="AD8" i="185"/>
  <c r="AF8" i="185" s="1"/>
  <c r="AH8" i="185" s="1"/>
  <c r="AJ8" i="185" s="1"/>
  <c r="AL8" i="185" s="1"/>
  <c r="AN8" i="185" s="1"/>
  <c r="D8" i="185"/>
  <c r="AD7" i="185"/>
  <c r="AF7" i="185" s="1"/>
  <c r="AH7" i="185" s="1"/>
  <c r="AJ7" i="185" s="1"/>
  <c r="AL7" i="185" s="1"/>
  <c r="AN7" i="185" s="1"/>
  <c r="F7" i="185"/>
  <c r="G7" i="185" s="1"/>
  <c r="AD6" i="185"/>
  <c r="AF6" i="185" s="1"/>
  <c r="AH6" i="185" s="1"/>
  <c r="AJ6" i="185" s="1"/>
  <c r="AL6" i="185" s="1"/>
  <c r="AN6" i="185" s="1"/>
  <c r="D6" i="185"/>
  <c r="AM15" i="185"/>
  <c r="AM11" i="185"/>
  <c r="AM7" i="185"/>
  <c r="AM5" i="185" a="1"/>
  <c r="AM14" i="185" s="1"/>
  <c r="AK15" i="185"/>
  <c r="AK14" i="185"/>
  <c r="AK11" i="185"/>
  <c r="AK10" i="185"/>
  <c r="AK7" i="185"/>
  <c r="AK6" i="185"/>
  <c r="AK5" i="185" a="1"/>
  <c r="AK17" i="185" s="1"/>
  <c r="AI17" i="185"/>
  <c r="AI14" i="185"/>
  <c r="AI13" i="185"/>
  <c r="AI10" i="185"/>
  <c r="AI9" i="185"/>
  <c r="AI6" i="185"/>
  <c r="AI5" i="185"/>
  <c r="AI5" i="185" a="1"/>
  <c r="AI16" i="185" s="1"/>
  <c r="AG5" i="185" a="1"/>
  <c r="AG12" i="185" s="1"/>
  <c r="AF5" i="185"/>
  <c r="AH5" i="185" s="1"/>
  <c r="AJ5" i="185" s="1"/>
  <c r="AL5" i="185" s="1"/>
  <c r="AN5" i="185" s="1"/>
  <c r="AE15" i="185"/>
  <c r="AE11" i="185"/>
  <c r="AE7" i="185"/>
  <c r="AE5" i="185" a="1"/>
  <c r="AE14" i="185" s="1"/>
  <c r="AC17" i="185"/>
  <c r="AC14" i="185"/>
  <c r="AC13" i="185"/>
  <c r="AC10" i="185"/>
  <c r="AC9" i="185"/>
  <c r="AC6" i="185"/>
  <c r="AC5" i="185"/>
  <c r="AC5" i="185" a="1"/>
  <c r="AC16" i="185" s="1"/>
  <c r="AH27" i="184"/>
  <c r="AH26" i="184"/>
  <c r="X21" i="184"/>
  <c r="W21" i="184"/>
  <c r="V21" i="184"/>
  <c r="U21" i="184"/>
  <c r="T21" i="184"/>
  <c r="S21" i="184"/>
  <c r="R21" i="184"/>
  <c r="Q21" i="184"/>
  <c r="P21" i="184"/>
  <c r="O21" i="184"/>
  <c r="N21" i="184"/>
  <c r="M21" i="184"/>
  <c r="L21" i="184"/>
  <c r="K21" i="184"/>
  <c r="J21" i="184"/>
  <c r="X20" i="184"/>
  <c r="W20" i="184"/>
  <c r="V20" i="184"/>
  <c r="U20" i="184"/>
  <c r="T20" i="184"/>
  <c r="S20" i="184"/>
  <c r="R20" i="184"/>
  <c r="Q20" i="184"/>
  <c r="P20" i="184"/>
  <c r="O20" i="184"/>
  <c r="N20" i="184"/>
  <c r="M20" i="184"/>
  <c r="L20" i="184"/>
  <c r="K20" i="184"/>
  <c r="D10" i="184" s="1"/>
  <c r="J20" i="184"/>
  <c r="X19" i="184"/>
  <c r="W19" i="184"/>
  <c r="V19" i="184"/>
  <c r="U19" i="184"/>
  <c r="T19" i="184"/>
  <c r="S19" i="184"/>
  <c r="R19" i="184"/>
  <c r="Q19" i="184"/>
  <c r="P19" i="184"/>
  <c r="O19" i="184"/>
  <c r="N19" i="184"/>
  <c r="M19" i="184"/>
  <c r="L19" i="184"/>
  <c r="K19" i="184"/>
  <c r="J19" i="184"/>
  <c r="X18" i="184"/>
  <c r="W18" i="184"/>
  <c r="V18" i="184"/>
  <c r="U18" i="184"/>
  <c r="T18" i="184"/>
  <c r="S18" i="184"/>
  <c r="R18" i="184"/>
  <c r="Q18" i="184"/>
  <c r="P18" i="184"/>
  <c r="O18" i="184"/>
  <c r="N18" i="184"/>
  <c r="M18" i="184"/>
  <c r="L18" i="184"/>
  <c r="K18" i="184"/>
  <c r="D8" i="184" s="1"/>
  <c r="J18" i="184"/>
  <c r="AD17" i="184"/>
  <c r="AF17" i="184" s="1"/>
  <c r="AH17" i="184" s="1"/>
  <c r="AJ17" i="184" s="1"/>
  <c r="AL17" i="184" s="1"/>
  <c r="AN17" i="184" s="1"/>
  <c r="X17" i="184"/>
  <c r="W17" i="184"/>
  <c r="V17" i="184"/>
  <c r="U17" i="184"/>
  <c r="T17" i="184"/>
  <c r="S17" i="184"/>
  <c r="R17" i="184"/>
  <c r="Q17" i="184"/>
  <c r="P17" i="184"/>
  <c r="O17" i="184"/>
  <c r="N17" i="184"/>
  <c r="M17" i="184"/>
  <c r="L17" i="184"/>
  <c r="K17" i="184"/>
  <c r="J17" i="184"/>
  <c r="AF16" i="184"/>
  <c r="AH16" i="184" s="1"/>
  <c r="AJ16" i="184" s="1"/>
  <c r="AL16" i="184" s="1"/>
  <c r="AN16" i="184" s="1"/>
  <c r="AD16" i="184"/>
  <c r="X16" i="184"/>
  <c r="W16" i="184"/>
  <c r="V16" i="184"/>
  <c r="U16" i="184"/>
  <c r="T16" i="184"/>
  <c r="S16" i="184"/>
  <c r="R16" i="184"/>
  <c r="Q16" i="184"/>
  <c r="P16" i="184"/>
  <c r="O16" i="184"/>
  <c r="N16" i="184"/>
  <c r="M16" i="184"/>
  <c r="D6" i="184" s="1"/>
  <c r="L16" i="184"/>
  <c r="K16" i="184"/>
  <c r="J16" i="184"/>
  <c r="F16" i="184"/>
  <c r="AD15" i="184"/>
  <c r="AF15" i="184" s="1"/>
  <c r="AH15" i="184" s="1"/>
  <c r="AJ15" i="184" s="1"/>
  <c r="AL15" i="184" s="1"/>
  <c r="AN15" i="184" s="1"/>
  <c r="AF14" i="184"/>
  <c r="AH14" i="184" s="1"/>
  <c r="AJ14" i="184" s="1"/>
  <c r="AL14" i="184" s="1"/>
  <c r="AN14" i="184" s="1"/>
  <c r="AD14" i="184"/>
  <c r="AD13" i="184"/>
  <c r="AF13" i="184" s="1"/>
  <c r="AH13" i="184" s="1"/>
  <c r="AJ13" i="184" s="1"/>
  <c r="AL13" i="184" s="1"/>
  <c r="AN13" i="184" s="1"/>
  <c r="AH12" i="184"/>
  <c r="AJ12" i="184" s="1"/>
  <c r="AL12" i="184" s="1"/>
  <c r="AN12" i="184" s="1"/>
  <c r="AF12" i="184"/>
  <c r="AD12" i="184"/>
  <c r="AD11" i="184"/>
  <c r="AF11" i="184" s="1"/>
  <c r="AH11" i="184" s="1"/>
  <c r="AJ11" i="184" s="1"/>
  <c r="AL11" i="184" s="1"/>
  <c r="AN11" i="184" s="1"/>
  <c r="D11" i="184"/>
  <c r="F11" i="184" s="1"/>
  <c r="G11" i="184" s="1"/>
  <c r="AF10" i="184"/>
  <c r="AH10" i="184" s="1"/>
  <c r="AJ10" i="184" s="1"/>
  <c r="AL10" i="184" s="1"/>
  <c r="AN10" i="184" s="1"/>
  <c r="AD10" i="184"/>
  <c r="AD9" i="184"/>
  <c r="AF9" i="184" s="1"/>
  <c r="AH9" i="184" s="1"/>
  <c r="AJ9" i="184" s="1"/>
  <c r="AL9" i="184" s="1"/>
  <c r="AN9" i="184" s="1"/>
  <c r="D9" i="184"/>
  <c r="F9" i="184" s="1"/>
  <c r="G9" i="184" s="1"/>
  <c r="AF8" i="184"/>
  <c r="AH8" i="184" s="1"/>
  <c r="AJ8" i="184" s="1"/>
  <c r="AL8" i="184" s="1"/>
  <c r="AN8" i="184" s="1"/>
  <c r="AD8" i="184"/>
  <c r="AD7" i="184"/>
  <c r="AF7" i="184" s="1"/>
  <c r="AH7" i="184" s="1"/>
  <c r="AJ7" i="184" s="1"/>
  <c r="AL7" i="184" s="1"/>
  <c r="AN7" i="184" s="1"/>
  <c r="D7" i="184"/>
  <c r="F7" i="184" s="1"/>
  <c r="G7" i="184" s="1"/>
  <c r="AF6" i="184"/>
  <c r="AH6" i="184" s="1"/>
  <c r="AJ6" i="184" s="1"/>
  <c r="AL6" i="184" s="1"/>
  <c r="AN6" i="184" s="1"/>
  <c r="AD6" i="184"/>
  <c r="AM17" i="184"/>
  <c r="AM13" i="184"/>
  <c r="AM9" i="184"/>
  <c r="AM5" i="184"/>
  <c r="AM5" i="184" a="1"/>
  <c r="AM16" i="184" s="1"/>
  <c r="AK5" i="184" a="1"/>
  <c r="AK15" i="184" s="1"/>
  <c r="AI15" i="184"/>
  <c r="AI11" i="184"/>
  <c r="AI7" i="184"/>
  <c r="AI5" i="184" a="1"/>
  <c r="AI14" i="184" s="1"/>
  <c r="AG17" i="184"/>
  <c r="AG15" i="184"/>
  <c r="AG14" i="184"/>
  <c r="AG13" i="184"/>
  <c r="AG11" i="184"/>
  <c r="AG10" i="184"/>
  <c r="AG9" i="184"/>
  <c r="AG7" i="184"/>
  <c r="AG6" i="184"/>
  <c r="AG5" i="184"/>
  <c r="AG5" i="184" a="1"/>
  <c r="AG16" i="184" s="1"/>
  <c r="AF5" i="184"/>
  <c r="AH5" i="184" s="1"/>
  <c r="AJ5" i="184" s="1"/>
  <c r="AL5" i="184" s="1"/>
  <c r="AN5" i="184" s="1"/>
  <c r="AE17" i="184"/>
  <c r="AE14" i="184"/>
  <c r="AE13" i="184"/>
  <c r="AE10" i="184"/>
  <c r="AE9" i="184"/>
  <c r="AE6" i="184"/>
  <c r="AE5" i="184"/>
  <c r="AE5" i="184" a="1"/>
  <c r="AE16" i="184" s="1"/>
  <c r="AC15" i="184"/>
  <c r="AC11" i="184"/>
  <c r="AC7" i="184"/>
  <c r="AC5" i="184" a="1"/>
  <c r="AC14" i="184" s="1"/>
  <c r="AH27" i="183"/>
  <c r="AH28" i="183" s="1"/>
  <c r="AH29" i="183" s="1"/>
  <c r="AH30" i="183" s="1"/>
  <c r="AH26" i="183"/>
  <c r="X21" i="183"/>
  <c r="W21" i="183"/>
  <c r="V21" i="183"/>
  <c r="U21" i="183"/>
  <c r="T21" i="183"/>
  <c r="S21" i="183"/>
  <c r="R21" i="183"/>
  <c r="Q21" i="183"/>
  <c r="P21" i="183"/>
  <c r="O21" i="183"/>
  <c r="N21" i="183"/>
  <c r="M21" i="183"/>
  <c r="L21" i="183"/>
  <c r="K21" i="183"/>
  <c r="J21" i="183"/>
  <c r="X20" i="183"/>
  <c r="W20" i="183"/>
  <c r="V20" i="183"/>
  <c r="U20" i="183"/>
  <c r="T20" i="183"/>
  <c r="S20" i="183"/>
  <c r="R20" i="183"/>
  <c r="Q20" i="183"/>
  <c r="P20" i="183"/>
  <c r="O20" i="183"/>
  <c r="N20" i="183"/>
  <c r="M20" i="183"/>
  <c r="L20" i="183"/>
  <c r="K20" i="183"/>
  <c r="D10" i="183" s="1"/>
  <c r="J20" i="183"/>
  <c r="X19" i="183"/>
  <c r="W19" i="183"/>
  <c r="V19" i="183"/>
  <c r="U19" i="183"/>
  <c r="T19" i="183"/>
  <c r="S19" i="183"/>
  <c r="R19" i="183"/>
  <c r="Q19" i="183"/>
  <c r="P19" i="183"/>
  <c r="O19" i="183"/>
  <c r="N19" i="183"/>
  <c r="M19" i="183"/>
  <c r="L19" i="183"/>
  <c r="K19" i="183"/>
  <c r="J19" i="183"/>
  <c r="X18" i="183"/>
  <c r="W18" i="183"/>
  <c r="V18" i="183"/>
  <c r="U18" i="183"/>
  <c r="T18" i="183"/>
  <c r="S18" i="183"/>
  <c r="R18" i="183"/>
  <c r="Q18" i="183"/>
  <c r="P18" i="183"/>
  <c r="O18" i="183"/>
  <c r="N18" i="183"/>
  <c r="M18" i="183"/>
  <c r="L18" i="183"/>
  <c r="K18" i="183"/>
  <c r="D8" i="183" s="1"/>
  <c r="J18" i="183"/>
  <c r="AD17" i="183"/>
  <c r="AF17" i="183" s="1"/>
  <c r="AH17" i="183" s="1"/>
  <c r="AJ17" i="183" s="1"/>
  <c r="AL17" i="183" s="1"/>
  <c r="AN17" i="183" s="1"/>
  <c r="X17" i="183"/>
  <c r="W17" i="183"/>
  <c r="V17" i="183"/>
  <c r="U17" i="183"/>
  <c r="T17" i="183"/>
  <c r="S17" i="183"/>
  <c r="R17" i="183"/>
  <c r="Q17" i="183"/>
  <c r="P17" i="183"/>
  <c r="O17" i="183"/>
  <c r="N17" i="183"/>
  <c r="M17" i="183"/>
  <c r="L17" i="183"/>
  <c r="K17" i="183"/>
  <c r="J17" i="183"/>
  <c r="AF16" i="183"/>
  <c r="AH16" i="183" s="1"/>
  <c r="AJ16" i="183" s="1"/>
  <c r="AL16" i="183" s="1"/>
  <c r="AN16" i="183" s="1"/>
  <c r="AD16" i="183"/>
  <c r="X16" i="183"/>
  <c r="W16" i="183"/>
  <c r="V16" i="183"/>
  <c r="U16" i="183"/>
  <c r="T16" i="183"/>
  <c r="S16" i="183"/>
  <c r="R16" i="183"/>
  <c r="Q16" i="183"/>
  <c r="P16" i="183"/>
  <c r="O16" i="183"/>
  <c r="N16" i="183"/>
  <c r="M16" i="183"/>
  <c r="L16" i="183"/>
  <c r="K16" i="183"/>
  <c r="J16" i="183"/>
  <c r="D6" i="183" s="1"/>
  <c r="F16" i="183"/>
  <c r="AD15" i="183"/>
  <c r="AF15" i="183" s="1"/>
  <c r="AH15" i="183" s="1"/>
  <c r="AJ15" i="183" s="1"/>
  <c r="AL15" i="183" s="1"/>
  <c r="AN15" i="183" s="1"/>
  <c r="AF14" i="183"/>
  <c r="AH14" i="183" s="1"/>
  <c r="AJ14" i="183" s="1"/>
  <c r="AL14" i="183" s="1"/>
  <c r="AN14" i="183" s="1"/>
  <c r="AD14" i="183"/>
  <c r="AD13" i="183"/>
  <c r="AF13" i="183" s="1"/>
  <c r="AH13" i="183" s="1"/>
  <c r="AJ13" i="183" s="1"/>
  <c r="AL13" i="183" s="1"/>
  <c r="AN13" i="183" s="1"/>
  <c r="AD12" i="183"/>
  <c r="AF12" i="183" s="1"/>
  <c r="AH12" i="183" s="1"/>
  <c r="AJ12" i="183" s="1"/>
  <c r="AL12" i="183" s="1"/>
  <c r="AN12" i="183" s="1"/>
  <c r="AD11" i="183"/>
  <c r="AF11" i="183" s="1"/>
  <c r="AH11" i="183" s="1"/>
  <c r="AJ11" i="183" s="1"/>
  <c r="AL11" i="183" s="1"/>
  <c r="AN11" i="183" s="1"/>
  <c r="D11" i="183"/>
  <c r="F11" i="183" s="1"/>
  <c r="G11" i="183" s="1"/>
  <c r="AD10" i="183"/>
  <c r="AF10" i="183" s="1"/>
  <c r="AH10" i="183" s="1"/>
  <c r="AJ10" i="183" s="1"/>
  <c r="AL10" i="183" s="1"/>
  <c r="AN10" i="183" s="1"/>
  <c r="AD9" i="183"/>
  <c r="AF9" i="183" s="1"/>
  <c r="AH9" i="183" s="1"/>
  <c r="AJ9" i="183" s="1"/>
  <c r="AL9" i="183" s="1"/>
  <c r="AN9" i="183" s="1"/>
  <c r="D9" i="183"/>
  <c r="F9" i="183" s="1"/>
  <c r="G9" i="183" s="1"/>
  <c r="AD8" i="183"/>
  <c r="AF8" i="183" s="1"/>
  <c r="AH8" i="183" s="1"/>
  <c r="AJ8" i="183" s="1"/>
  <c r="AL8" i="183" s="1"/>
  <c r="AN8" i="183" s="1"/>
  <c r="AD7" i="183"/>
  <c r="AF7" i="183" s="1"/>
  <c r="AH7" i="183" s="1"/>
  <c r="AJ7" i="183" s="1"/>
  <c r="AL7" i="183" s="1"/>
  <c r="AN7" i="183" s="1"/>
  <c r="D7" i="183"/>
  <c r="F7" i="183" s="1"/>
  <c r="G7" i="183" s="1"/>
  <c r="AD6" i="183"/>
  <c r="AF6" i="183" s="1"/>
  <c r="AH6" i="183" s="1"/>
  <c r="AJ6" i="183" s="1"/>
  <c r="AL6" i="183" s="1"/>
  <c r="AN6" i="183" s="1"/>
  <c r="AM17" i="183"/>
  <c r="AM14" i="183"/>
  <c r="AM13" i="183"/>
  <c r="AM10" i="183"/>
  <c r="AM9" i="183"/>
  <c r="AM6" i="183"/>
  <c r="AM5" i="183"/>
  <c r="AM5" i="183" a="1"/>
  <c r="AM16" i="183" s="1"/>
  <c r="AK5" i="183" a="1"/>
  <c r="AK15" i="183" s="1"/>
  <c r="AI15" i="183"/>
  <c r="AI11" i="183"/>
  <c r="AI7" i="183"/>
  <c r="AI5" i="183" a="1"/>
  <c r="AI14" i="183" s="1"/>
  <c r="AG15" i="183"/>
  <c r="AG14" i="183"/>
  <c r="AG11" i="183"/>
  <c r="AG10" i="183"/>
  <c r="AG7" i="183"/>
  <c r="AG6" i="183"/>
  <c r="AG5" i="183" a="1"/>
  <c r="AG17" i="183" s="1"/>
  <c r="AF5" i="183"/>
  <c r="AH5" i="183" s="1"/>
  <c r="AJ5" i="183" s="1"/>
  <c r="AL5" i="183" s="1"/>
  <c r="AN5" i="183" s="1"/>
  <c r="AE17" i="183"/>
  <c r="AE14" i="183"/>
  <c r="AE13" i="183"/>
  <c r="AE10" i="183"/>
  <c r="AE9" i="183"/>
  <c r="AE6" i="183"/>
  <c r="AE5" i="183"/>
  <c r="AE5" i="183" a="1"/>
  <c r="AE16" i="183" s="1"/>
  <c r="AC15" i="183"/>
  <c r="AC11" i="183"/>
  <c r="AC7" i="183"/>
  <c r="AC5" i="183" a="1"/>
  <c r="AC14" i="183" s="1"/>
  <c r="AH27" i="182"/>
  <c r="AH26" i="182"/>
  <c r="X21" i="182"/>
  <c r="W21" i="182"/>
  <c r="V21" i="182"/>
  <c r="U21" i="182"/>
  <c r="T21" i="182"/>
  <c r="S21" i="182"/>
  <c r="R21" i="182"/>
  <c r="Q21" i="182"/>
  <c r="P21" i="182"/>
  <c r="O21" i="182"/>
  <c r="N21" i="182"/>
  <c r="M21" i="182"/>
  <c r="L21" i="182"/>
  <c r="K21" i="182"/>
  <c r="D11" i="182" s="1"/>
  <c r="F11" i="182" s="1"/>
  <c r="G11" i="182" s="1"/>
  <c r="J21" i="182"/>
  <c r="X20" i="182"/>
  <c r="W20" i="182"/>
  <c r="V20" i="182"/>
  <c r="U20" i="182"/>
  <c r="T20" i="182"/>
  <c r="S20" i="182"/>
  <c r="R20" i="182"/>
  <c r="Q20" i="182"/>
  <c r="P20" i="182"/>
  <c r="O20" i="182"/>
  <c r="N20" i="182"/>
  <c r="M20" i="182"/>
  <c r="L20" i="182"/>
  <c r="D10" i="182" s="1"/>
  <c r="K20" i="182"/>
  <c r="J20" i="182"/>
  <c r="X19" i="182"/>
  <c r="W19" i="182"/>
  <c r="V19" i="182"/>
  <c r="U19" i="182"/>
  <c r="T19" i="182"/>
  <c r="S19" i="182"/>
  <c r="R19" i="182"/>
  <c r="Q19" i="182"/>
  <c r="P19" i="182"/>
  <c r="O19" i="182"/>
  <c r="N19" i="182"/>
  <c r="M19" i="182"/>
  <c r="L19" i="182"/>
  <c r="K19" i="182"/>
  <c r="J19" i="182"/>
  <c r="D9" i="182" s="1"/>
  <c r="F9" i="182" s="1"/>
  <c r="G9" i="182" s="1"/>
  <c r="X18" i="182"/>
  <c r="W18" i="182"/>
  <c r="V18" i="182"/>
  <c r="U18" i="182"/>
  <c r="T18" i="182"/>
  <c r="S18" i="182"/>
  <c r="R18" i="182"/>
  <c r="Q18" i="182"/>
  <c r="P18" i="182"/>
  <c r="O18" i="182"/>
  <c r="N18" i="182"/>
  <c r="M18" i="182"/>
  <c r="L18" i="182"/>
  <c r="D8" i="182" s="1"/>
  <c r="K18" i="182"/>
  <c r="J18" i="182"/>
  <c r="AF17" i="182"/>
  <c r="AH17" i="182" s="1"/>
  <c r="AJ17" i="182" s="1"/>
  <c r="AL17" i="182" s="1"/>
  <c r="AN17" i="182" s="1"/>
  <c r="AD17" i="182"/>
  <c r="X17" i="182"/>
  <c r="W17" i="182"/>
  <c r="V17" i="182"/>
  <c r="U17" i="182"/>
  <c r="T17" i="182"/>
  <c r="S17" i="182"/>
  <c r="R17" i="182"/>
  <c r="Q17" i="182"/>
  <c r="P17" i="182"/>
  <c r="O17" i="182"/>
  <c r="N17" i="182"/>
  <c r="M17" i="182"/>
  <c r="D7" i="182" s="1"/>
  <c r="F7" i="182" s="1"/>
  <c r="G7" i="182" s="1"/>
  <c r="L17" i="182"/>
  <c r="K17" i="182"/>
  <c r="J17" i="182"/>
  <c r="AH16" i="182"/>
  <c r="AJ16" i="182" s="1"/>
  <c r="AL16" i="182" s="1"/>
  <c r="AN16" i="182" s="1"/>
  <c r="AF16" i="182"/>
  <c r="AD16" i="182"/>
  <c r="X16" i="182"/>
  <c r="W16" i="182"/>
  <c r="V16" i="182"/>
  <c r="U16" i="182"/>
  <c r="T16" i="182"/>
  <c r="S16" i="182"/>
  <c r="R16" i="182"/>
  <c r="Q16" i="182"/>
  <c r="P16" i="182"/>
  <c r="O16" i="182"/>
  <c r="N16" i="182"/>
  <c r="M16" i="182"/>
  <c r="L16" i="182"/>
  <c r="K16" i="182"/>
  <c r="J16" i="182"/>
  <c r="D6" i="182" s="1"/>
  <c r="F16" i="182"/>
  <c r="AD15" i="182"/>
  <c r="AF15" i="182" s="1"/>
  <c r="AH15" i="182" s="1"/>
  <c r="AJ15" i="182" s="1"/>
  <c r="AL15" i="182" s="1"/>
  <c r="AN15" i="182" s="1"/>
  <c r="AF14" i="182"/>
  <c r="AH14" i="182" s="1"/>
  <c r="AJ14" i="182" s="1"/>
  <c r="AL14" i="182" s="1"/>
  <c r="AN14" i="182" s="1"/>
  <c r="AD14" i="182"/>
  <c r="AF13" i="182"/>
  <c r="AH13" i="182" s="1"/>
  <c r="AJ13" i="182" s="1"/>
  <c r="AL13" i="182" s="1"/>
  <c r="AN13" i="182" s="1"/>
  <c r="AD13" i="182"/>
  <c r="AD12" i="182"/>
  <c r="AF12" i="182" s="1"/>
  <c r="AH12" i="182" s="1"/>
  <c r="AJ12" i="182" s="1"/>
  <c r="AL12" i="182" s="1"/>
  <c r="AN12" i="182" s="1"/>
  <c r="AN11" i="182"/>
  <c r="AF11" i="182"/>
  <c r="AH11" i="182" s="1"/>
  <c r="AJ11" i="182" s="1"/>
  <c r="AL11" i="182" s="1"/>
  <c r="AD11" i="182"/>
  <c r="E11" i="182"/>
  <c r="AJ10" i="182"/>
  <c r="AL10" i="182" s="1"/>
  <c r="AN10" i="182" s="1"/>
  <c r="AD10" i="182"/>
  <c r="AF10" i="182" s="1"/>
  <c r="AH10" i="182" s="1"/>
  <c r="AF9" i="182"/>
  <c r="AH9" i="182" s="1"/>
  <c r="AJ9" i="182" s="1"/>
  <c r="AL9" i="182" s="1"/>
  <c r="AN9" i="182" s="1"/>
  <c r="AD9" i="182"/>
  <c r="E9" i="182"/>
  <c r="AD8" i="182"/>
  <c r="AF8" i="182" s="1"/>
  <c r="AH8" i="182" s="1"/>
  <c r="AJ8" i="182" s="1"/>
  <c r="AL8" i="182" s="1"/>
  <c r="AN8" i="182" s="1"/>
  <c r="AF7" i="182"/>
  <c r="AH7" i="182" s="1"/>
  <c r="AJ7" i="182" s="1"/>
  <c r="AL7" i="182" s="1"/>
  <c r="AN7" i="182" s="1"/>
  <c r="AD7" i="182"/>
  <c r="E7" i="182"/>
  <c r="AD6" i="182"/>
  <c r="AF6" i="182" s="1"/>
  <c r="AH6" i="182" s="1"/>
  <c r="AJ6" i="182" s="1"/>
  <c r="AL6" i="182" s="1"/>
  <c r="AN6" i="182" s="1"/>
  <c r="AM17" i="182"/>
  <c r="AM15" i="182"/>
  <c r="AM14" i="182"/>
  <c r="AM13" i="182"/>
  <c r="AM11" i="182"/>
  <c r="AM10" i="182"/>
  <c r="AM9" i="182"/>
  <c r="AM7" i="182"/>
  <c r="AM6" i="182"/>
  <c r="AM5" i="182"/>
  <c r="AM5" i="182" a="1"/>
  <c r="AM16" i="182" s="1"/>
  <c r="AK17" i="182"/>
  <c r="AK13" i="182"/>
  <c r="AK9" i="182"/>
  <c r="AK5" i="182"/>
  <c r="AK5" i="182" a="1"/>
  <c r="AK16" i="182" s="1"/>
  <c r="AI8" i="182"/>
  <c r="AI5" i="182" a="1"/>
  <c r="AI16" i="182" s="1"/>
  <c r="AG15" i="182"/>
  <c r="AG14" i="182"/>
  <c r="AG11" i="182"/>
  <c r="AG10" i="182"/>
  <c r="AG7" i="182"/>
  <c r="AG6" i="182"/>
  <c r="AG5" i="182" a="1"/>
  <c r="AG17" i="182" s="1"/>
  <c r="AF5" i="182"/>
  <c r="AH5" i="182" s="1"/>
  <c r="AJ5" i="182" s="1"/>
  <c r="AL5" i="182" s="1"/>
  <c r="AN5" i="182" s="1"/>
  <c r="AE17" i="182"/>
  <c r="AE15" i="182"/>
  <c r="AE14" i="182"/>
  <c r="AE13" i="182"/>
  <c r="AE11" i="182"/>
  <c r="AE10" i="182"/>
  <c r="AE9" i="182"/>
  <c r="AE7" i="182"/>
  <c r="AE6" i="182"/>
  <c r="AE5" i="182"/>
  <c r="AE5" i="182" a="1"/>
  <c r="AE16" i="182" s="1"/>
  <c r="AC5" i="182" a="1"/>
  <c r="AH28" i="181"/>
  <c r="AH29" i="181" s="1"/>
  <c r="AH30" i="181" s="1"/>
  <c r="AH27" i="181"/>
  <c r="AH26" i="181"/>
  <c r="X21" i="181"/>
  <c r="W21" i="181"/>
  <c r="V21" i="181"/>
  <c r="U21" i="181"/>
  <c r="T21" i="181"/>
  <c r="S21" i="181"/>
  <c r="R21" i="181"/>
  <c r="Q21" i="181"/>
  <c r="P21" i="181"/>
  <c r="O21" i="181"/>
  <c r="N21" i="181"/>
  <c r="M21" i="181"/>
  <c r="L21" i="181"/>
  <c r="K21" i="181"/>
  <c r="J21" i="181"/>
  <c r="D11" i="181" s="1"/>
  <c r="X20" i="181"/>
  <c r="W20" i="181"/>
  <c r="V20" i="181"/>
  <c r="U20" i="181"/>
  <c r="T20" i="181"/>
  <c r="S20" i="181"/>
  <c r="R20" i="181"/>
  <c r="Q20" i="181"/>
  <c r="P20" i="181"/>
  <c r="O20" i="181"/>
  <c r="N20" i="181"/>
  <c r="M20" i="181"/>
  <c r="L20" i="181"/>
  <c r="D10" i="181" s="1"/>
  <c r="K20" i="181"/>
  <c r="J20" i="181"/>
  <c r="X19" i="181"/>
  <c r="W19" i="181"/>
  <c r="V19" i="181"/>
  <c r="U19" i="181"/>
  <c r="T19" i="181"/>
  <c r="S19" i="181"/>
  <c r="R19" i="181"/>
  <c r="Q19" i="181"/>
  <c r="P19" i="181"/>
  <c r="O19" i="181"/>
  <c r="N19" i="181"/>
  <c r="M19" i="181"/>
  <c r="L19" i="181"/>
  <c r="K19" i="181"/>
  <c r="J19" i="181"/>
  <c r="D9" i="181" s="1"/>
  <c r="E9" i="181" s="1"/>
  <c r="X18" i="181"/>
  <c r="W18" i="181"/>
  <c r="V18" i="181"/>
  <c r="U18" i="181"/>
  <c r="T18" i="181"/>
  <c r="S18" i="181"/>
  <c r="R18" i="181"/>
  <c r="Q18" i="181"/>
  <c r="P18" i="181"/>
  <c r="O18" i="181"/>
  <c r="N18" i="181"/>
  <c r="M18" i="181"/>
  <c r="L18" i="181"/>
  <c r="K18" i="181"/>
  <c r="J18" i="181"/>
  <c r="AD17" i="181"/>
  <c r="AF17" i="181" s="1"/>
  <c r="AH17" i="181" s="1"/>
  <c r="AJ17" i="181" s="1"/>
  <c r="AL17" i="181" s="1"/>
  <c r="AN17" i="181" s="1"/>
  <c r="X17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AF16" i="181"/>
  <c r="AH16" i="181" s="1"/>
  <c r="AJ16" i="181" s="1"/>
  <c r="AL16" i="181" s="1"/>
  <c r="AN16" i="181" s="1"/>
  <c r="AD16" i="181"/>
  <c r="X16" i="181"/>
  <c r="W16" i="181"/>
  <c r="V16" i="181"/>
  <c r="U16" i="181"/>
  <c r="T16" i="181"/>
  <c r="S16" i="181"/>
  <c r="R16" i="181"/>
  <c r="Q16" i="181"/>
  <c r="P16" i="181"/>
  <c r="O16" i="181"/>
  <c r="N16" i="181"/>
  <c r="M16" i="181"/>
  <c r="L16" i="181"/>
  <c r="K16" i="181"/>
  <c r="J16" i="181"/>
  <c r="F16" i="181"/>
  <c r="AD15" i="181"/>
  <c r="AF15" i="181" s="1"/>
  <c r="AH15" i="181" s="1"/>
  <c r="AJ15" i="181" s="1"/>
  <c r="AL15" i="181" s="1"/>
  <c r="AN15" i="181" s="1"/>
  <c r="AH14" i="181"/>
  <c r="AJ14" i="181" s="1"/>
  <c r="AL14" i="181" s="1"/>
  <c r="AN14" i="181" s="1"/>
  <c r="AF14" i="181"/>
  <c r="AD14" i="181"/>
  <c r="AF13" i="181"/>
  <c r="AH13" i="181" s="1"/>
  <c r="AJ13" i="181" s="1"/>
  <c r="AL13" i="181" s="1"/>
  <c r="AN13" i="181" s="1"/>
  <c r="AD13" i="181"/>
  <c r="AD12" i="181"/>
  <c r="AF12" i="181" s="1"/>
  <c r="AH12" i="181" s="1"/>
  <c r="AJ12" i="181" s="1"/>
  <c r="AL12" i="181" s="1"/>
  <c r="AN12" i="181" s="1"/>
  <c r="AF11" i="181"/>
  <c r="AH11" i="181" s="1"/>
  <c r="AJ11" i="181" s="1"/>
  <c r="AL11" i="181" s="1"/>
  <c r="AN11" i="181" s="1"/>
  <c r="AD11" i="181"/>
  <c r="AD10" i="181"/>
  <c r="AF10" i="181" s="1"/>
  <c r="AH10" i="181" s="1"/>
  <c r="AJ10" i="181" s="1"/>
  <c r="AL10" i="181" s="1"/>
  <c r="AN10" i="181" s="1"/>
  <c r="AD9" i="181"/>
  <c r="AF9" i="181" s="1"/>
  <c r="AH9" i="181" s="1"/>
  <c r="AJ9" i="181" s="1"/>
  <c r="AL9" i="181" s="1"/>
  <c r="AN9" i="181" s="1"/>
  <c r="F9" i="181"/>
  <c r="G9" i="181" s="1"/>
  <c r="AD8" i="181"/>
  <c r="AF8" i="181" s="1"/>
  <c r="AH8" i="181" s="1"/>
  <c r="AJ8" i="181" s="1"/>
  <c r="AL8" i="181" s="1"/>
  <c r="AN8" i="181" s="1"/>
  <c r="G8" i="181"/>
  <c r="F8" i="181"/>
  <c r="D8" i="181"/>
  <c r="E8" i="181" s="1"/>
  <c r="AF7" i="181"/>
  <c r="AH7" i="181" s="1"/>
  <c r="AJ7" i="181" s="1"/>
  <c r="AL7" i="181" s="1"/>
  <c r="AN7" i="181" s="1"/>
  <c r="AD7" i="181"/>
  <c r="E7" i="181"/>
  <c r="D7" i="181"/>
  <c r="F7" i="181" s="1"/>
  <c r="G7" i="181" s="1"/>
  <c r="AD6" i="181"/>
  <c r="AF6" i="181" s="1"/>
  <c r="AH6" i="181" s="1"/>
  <c r="AJ6" i="181" s="1"/>
  <c r="AL6" i="181" s="1"/>
  <c r="AN6" i="181" s="1"/>
  <c r="G6" i="181"/>
  <c r="F6" i="181"/>
  <c r="D6" i="181"/>
  <c r="AM17" i="181"/>
  <c r="AM15" i="181"/>
  <c r="AM14" i="181"/>
  <c r="AM13" i="181"/>
  <c r="AM11" i="181"/>
  <c r="AM10" i="181"/>
  <c r="AM9" i="181"/>
  <c r="AM7" i="181"/>
  <c r="AM6" i="181"/>
  <c r="AM5" i="181"/>
  <c r="AM5" i="181" a="1"/>
  <c r="AM16" i="181" s="1"/>
  <c r="AK17" i="181"/>
  <c r="AK14" i="181"/>
  <c r="AK13" i="181"/>
  <c r="AK10" i="181"/>
  <c r="AK9" i="181"/>
  <c r="AK6" i="181"/>
  <c r="AK5" i="181"/>
  <c r="AK5" i="181" a="1"/>
  <c r="AK16" i="181" s="1"/>
  <c r="AI16" i="181"/>
  <c r="AI12" i="181"/>
  <c r="AI5" i="181" a="1"/>
  <c r="AG15" i="181"/>
  <c r="AG11" i="181"/>
  <c r="AG7" i="181"/>
  <c r="AG5" i="181" a="1"/>
  <c r="AG14" i="181" s="1"/>
  <c r="AF5" i="181"/>
  <c r="AH5" i="181" s="1"/>
  <c r="AJ5" i="181" s="1"/>
  <c r="AL5" i="181" s="1"/>
  <c r="AN5" i="181" s="1"/>
  <c r="AE17" i="181"/>
  <c r="AE15" i="181"/>
  <c r="AE14" i="181"/>
  <c r="AE13" i="181"/>
  <c r="AE11" i="181"/>
  <c r="AE10" i="181"/>
  <c r="AE9" i="181"/>
  <c r="AE7" i="181"/>
  <c r="AE6" i="181"/>
  <c r="AE5" i="181"/>
  <c r="AE5" i="181" a="1"/>
  <c r="AE16" i="181" s="1"/>
  <c r="AC12" i="181"/>
  <c r="AC5" i="181" a="1"/>
  <c r="AC16" i="181" s="1"/>
  <c r="AH28" i="180"/>
  <c r="AH27" i="180"/>
  <c r="AH29" i="180" s="1"/>
  <c r="AH30" i="180" s="1"/>
  <c r="AH26" i="180"/>
  <c r="X21" i="180"/>
  <c r="W21" i="180"/>
  <c r="V21" i="180"/>
  <c r="U21" i="180"/>
  <c r="T21" i="180"/>
  <c r="S21" i="180"/>
  <c r="R21" i="180"/>
  <c r="Q21" i="180"/>
  <c r="P21" i="180"/>
  <c r="O21" i="180"/>
  <c r="N21" i="180"/>
  <c r="M21" i="180"/>
  <c r="L21" i="180"/>
  <c r="K21" i="180"/>
  <c r="D11" i="180" s="1"/>
  <c r="J21" i="180"/>
  <c r="X20" i="180"/>
  <c r="W20" i="180"/>
  <c r="V20" i="180"/>
  <c r="U20" i="180"/>
  <c r="T20" i="180"/>
  <c r="S20" i="180"/>
  <c r="R20" i="180"/>
  <c r="Q20" i="180"/>
  <c r="P20" i="180"/>
  <c r="O20" i="180"/>
  <c r="N20" i="180"/>
  <c r="M20" i="180"/>
  <c r="L20" i="180"/>
  <c r="K20" i="180"/>
  <c r="J20" i="180"/>
  <c r="X19" i="180"/>
  <c r="W19" i="180"/>
  <c r="V19" i="180"/>
  <c r="U19" i="180"/>
  <c r="T19" i="180"/>
  <c r="S19" i="180"/>
  <c r="R19" i="180"/>
  <c r="Q19" i="180"/>
  <c r="P19" i="180"/>
  <c r="O19" i="180"/>
  <c r="N19" i="180"/>
  <c r="M19" i="180"/>
  <c r="L19" i="180"/>
  <c r="K19" i="180"/>
  <c r="J19" i="180"/>
  <c r="D9" i="180" s="1"/>
  <c r="X18" i="180"/>
  <c r="W18" i="180"/>
  <c r="V18" i="180"/>
  <c r="U18" i="180"/>
  <c r="T18" i="180"/>
  <c r="S18" i="180"/>
  <c r="R18" i="180"/>
  <c r="Q18" i="180"/>
  <c r="P18" i="180"/>
  <c r="O18" i="180"/>
  <c r="N18" i="180"/>
  <c r="M18" i="180"/>
  <c r="L18" i="180"/>
  <c r="K18" i="180"/>
  <c r="J18" i="180"/>
  <c r="AF17" i="180"/>
  <c r="AH17" i="180" s="1"/>
  <c r="AJ17" i="180" s="1"/>
  <c r="AL17" i="180" s="1"/>
  <c r="AN17" i="180" s="1"/>
  <c r="AD17" i="180"/>
  <c r="X17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AH16" i="180"/>
  <c r="AJ16" i="180" s="1"/>
  <c r="AL16" i="180" s="1"/>
  <c r="AN16" i="180" s="1"/>
  <c r="AF16" i="180"/>
  <c r="AD16" i="180"/>
  <c r="X16" i="180"/>
  <c r="W16" i="180"/>
  <c r="V16" i="180"/>
  <c r="U16" i="180"/>
  <c r="T16" i="180"/>
  <c r="S16" i="180"/>
  <c r="R16" i="180"/>
  <c r="Q16" i="180"/>
  <c r="P16" i="180"/>
  <c r="O16" i="180"/>
  <c r="N16" i="180"/>
  <c r="M16" i="180"/>
  <c r="L16" i="180"/>
  <c r="K16" i="180"/>
  <c r="J16" i="180"/>
  <c r="D6" i="180" s="1"/>
  <c r="F16" i="180"/>
  <c r="AD15" i="180"/>
  <c r="AF15" i="180" s="1"/>
  <c r="AH15" i="180" s="1"/>
  <c r="AJ15" i="180" s="1"/>
  <c r="AL15" i="180" s="1"/>
  <c r="AN15" i="180" s="1"/>
  <c r="AH14" i="180"/>
  <c r="AJ14" i="180" s="1"/>
  <c r="AL14" i="180" s="1"/>
  <c r="AN14" i="180" s="1"/>
  <c r="AF14" i="180"/>
  <c r="AD14" i="180"/>
  <c r="AF13" i="180"/>
  <c r="AH13" i="180" s="1"/>
  <c r="AJ13" i="180" s="1"/>
  <c r="AL13" i="180" s="1"/>
  <c r="AN13" i="180" s="1"/>
  <c r="AD13" i="180"/>
  <c r="AD12" i="180"/>
  <c r="AF12" i="180" s="1"/>
  <c r="AH12" i="180" s="1"/>
  <c r="AJ12" i="180" s="1"/>
  <c r="AL12" i="180" s="1"/>
  <c r="AN12" i="180" s="1"/>
  <c r="AF11" i="180"/>
  <c r="AH11" i="180" s="1"/>
  <c r="AJ11" i="180" s="1"/>
  <c r="AL11" i="180" s="1"/>
  <c r="AN11" i="180" s="1"/>
  <c r="AD11" i="180"/>
  <c r="F11" i="180"/>
  <c r="G11" i="180" s="1"/>
  <c r="E11" i="180"/>
  <c r="AD10" i="180"/>
  <c r="AF10" i="180" s="1"/>
  <c r="AH10" i="180" s="1"/>
  <c r="AJ10" i="180" s="1"/>
  <c r="AL10" i="180" s="1"/>
  <c r="AN10" i="180" s="1"/>
  <c r="D10" i="180"/>
  <c r="AF9" i="180"/>
  <c r="AH9" i="180" s="1"/>
  <c r="AJ9" i="180" s="1"/>
  <c r="AL9" i="180" s="1"/>
  <c r="AN9" i="180" s="1"/>
  <c r="AD9" i="180"/>
  <c r="F9" i="180"/>
  <c r="G9" i="180" s="1"/>
  <c r="E9" i="180"/>
  <c r="AD8" i="180"/>
  <c r="AF8" i="180" s="1"/>
  <c r="AH8" i="180" s="1"/>
  <c r="AJ8" i="180" s="1"/>
  <c r="AL8" i="180" s="1"/>
  <c r="AN8" i="180" s="1"/>
  <c r="D8" i="180"/>
  <c r="AF7" i="180"/>
  <c r="AH7" i="180" s="1"/>
  <c r="AJ7" i="180" s="1"/>
  <c r="AL7" i="180" s="1"/>
  <c r="AN7" i="180" s="1"/>
  <c r="AD7" i="180"/>
  <c r="AD6" i="180"/>
  <c r="AF6" i="180" s="1"/>
  <c r="AH6" i="180" s="1"/>
  <c r="AJ6" i="180" s="1"/>
  <c r="AL6" i="180" s="1"/>
  <c r="AN6" i="180" s="1"/>
  <c r="AM15" i="180"/>
  <c r="AM14" i="180"/>
  <c r="AM11" i="180"/>
  <c r="AM10" i="180"/>
  <c r="AM7" i="180"/>
  <c r="AM6" i="180"/>
  <c r="AM5" i="180" a="1"/>
  <c r="AM17" i="180" s="1"/>
  <c r="AK17" i="180"/>
  <c r="AK14" i="180"/>
  <c r="AK13" i="180"/>
  <c r="AK10" i="180"/>
  <c r="AK9" i="180"/>
  <c r="AK6" i="180"/>
  <c r="AK5" i="180"/>
  <c r="AK5" i="180" a="1"/>
  <c r="AK16" i="180" s="1"/>
  <c r="AI17" i="180"/>
  <c r="AI16" i="180"/>
  <c r="AI9" i="180"/>
  <c r="AI8" i="180"/>
  <c r="AI5" i="180" a="1"/>
  <c r="AG16" i="180"/>
  <c r="AG15" i="180"/>
  <c r="AG8" i="180"/>
  <c r="AG7" i="180"/>
  <c r="AG5" i="180" a="1"/>
  <c r="AG11" i="180" s="1"/>
  <c r="AF5" i="180"/>
  <c r="AH5" i="180" s="1"/>
  <c r="AJ5" i="180" s="1"/>
  <c r="AL5" i="180" s="1"/>
  <c r="AN5" i="180" s="1"/>
  <c r="AE15" i="180"/>
  <c r="AE14" i="180"/>
  <c r="AE13" i="180"/>
  <c r="AE11" i="180"/>
  <c r="AE10" i="180"/>
  <c r="AE9" i="180"/>
  <c r="AE7" i="180"/>
  <c r="AE6" i="180"/>
  <c r="AE5" i="180"/>
  <c r="AE5" i="180" a="1"/>
  <c r="AE17" i="180" s="1"/>
  <c r="AC14" i="180"/>
  <c r="AC10" i="180"/>
  <c r="AC6" i="180"/>
  <c r="AC5" i="180" a="1"/>
  <c r="AC17" i="180" s="1"/>
  <c r="AH27" i="179"/>
  <c r="AH26" i="179"/>
  <c r="X21" i="179"/>
  <c r="W21" i="179"/>
  <c r="V21" i="179"/>
  <c r="U21" i="179"/>
  <c r="T21" i="179"/>
  <c r="S21" i="179"/>
  <c r="R21" i="179"/>
  <c r="Q21" i="179"/>
  <c r="P21" i="179"/>
  <c r="O21" i="179"/>
  <c r="N21" i="179"/>
  <c r="M21" i="179"/>
  <c r="D11" i="179" s="1"/>
  <c r="L21" i="179"/>
  <c r="K21" i="179"/>
  <c r="J21" i="179"/>
  <c r="X20" i="179"/>
  <c r="W20" i="179"/>
  <c r="V20" i="179"/>
  <c r="U20" i="179"/>
  <c r="T20" i="179"/>
  <c r="S20" i="179"/>
  <c r="R20" i="179"/>
  <c r="Q20" i="179"/>
  <c r="P20" i="179"/>
  <c r="O20" i="179"/>
  <c r="N20" i="179"/>
  <c r="M20" i="179"/>
  <c r="L20" i="179"/>
  <c r="K20" i="179"/>
  <c r="J20" i="179"/>
  <c r="D10" i="179" s="1"/>
  <c r="X19" i="179"/>
  <c r="W19" i="179"/>
  <c r="V19" i="179"/>
  <c r="U19" i="179"/>
  <c r="T19" i="179"/>
  <c r="S19" i="179"/>
  <c r="R19" i="179"/>
  <c r="Q19" i="179"/>
  <c r="P19" i="179"/>
  <c r="O19" i="179"/>
  <c r="N19" i="179"/>
  <c r="M19" i="179"/>
  <c r="L19" i="179"/>
  <c r="D9" i="179" s="1"/>
  <c r="K19" i="179"/>
  <c r="J19" i="179"/>
  <c r="X18" i="179"/>
  <c r="W18" i="179"/>
  <c r="V18" i="179"/>
  <c r="U18" i="179"/>
  <c r="T18" i="179"/>
  <c r="S18" i="179"/>
  <c r="R18" i="179"/>
  <c r="Q18" i="179"/>
  <c r="P18" i="179"/>
  <c r="O18" i="179"/>
  <c r="N18" i="179"/>
  <c r="M18" i="179"/>
  <c r="L18" i="179"/>
  <c r="K18" i="179"/>
  <c r="J18" i="179"/>
  <c r="D8" i="179" s="1"/>
  <c r="AF17" i="179"/>
  <c r="AH17" i="179" s="1"/>
  <c r="AJ17" i="179" s="1"/>
  <c r="AL17" i="179" s="1"/>
  <c r="AN17" i="179" s="1"/>
  <c r="AD17" i="179"/>
  <c r="X17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D7" i="179" s="1"/>
  <c r="J17" i="179"/>
  <c r="AD16" i="179"/>
  <c r="AF16" i="179" s="1"/>
  <c r="AH16" i="179" s="1"/>
  <c r="AJ16" i="179" s="1"/>
  <c r="AL16" i="179" s="1"/>
  <c r="AN16" i="179" s="1"/>
  <c r="X16" i="179"/>
  <c r="W16" i="179"/>
  <c r="V16" i="179"/>
  <c r="U16" i="179"/>
  <c r="T16" i="179"/>
  <c r="S16" i="179"/>
  <c r="R16" i="179"/>
  <c r="Q16" i="179"/>
  <c r="P16" i="179"/>
  <c r="O16" i="179"/>
  <c r="N16" i="179"/>
  <c r="M16" i="179"/>
  <c r="L16" i="179"/>
  <c r="D6" i="179" s="1"/>
  <c r="K16" i="179"/>
  <c r="J16" i="179"/>
  <c r="F16" i="179"/>
  <c r="AD15" i="179"/>
  <c r="AF15" i="179" s="1"/>
  <c r="AH15" i="179" s="1"/>
  <c r="AJ15" i="179" s="1"/>
  <c r="AL15" i="179" s="1"/>
  <c r="AN15" i="179" s="1"/>
  <c r="AD14" i="179"/>
  <c r="AF14" i="179" s="1"/>
  <c r="AH14" i="179" s="1"/>
  <c r="AJ14" i="179" s="1"/>
  <c r="AL14" i="179" s="1"/>
  <c r="AN14" i="179" s="1"/>
  <c r="AD13" i="179"/>
  <c r="AF13" i="179" s="1"/>
  <c r="AH13" i="179" s="1"/>
  <c r="AJ13" i="179" s="1"/>
  <c r="AL13" i="179" s="1"/>
  <c r="AN13" i="179" s="1"/>
  <c r="AF12" i="179"/>
  <c r="AH12" i="179" s="1"/>
  <c r="AJ12" i="179" s="1"/>
  <c r="AL12" i="179" s="1"/>
  <c r="AN12" i="179" s="1"/>
  <c r="AD12" i="179"/>
  <c r="AD11" i="179"/>
  <c r="AF11" i="179" s="1"/>
  <c r="AH11" i="179" s="1"/>
  <c r="AJ11" i="179" s="1"/>
  <c r="AL11" i="179" s="1"/>
  <c r="AN11" i="179" s="1"/>
  <c r="AF10" i="179"/>
  <c r="AH10" i="179" s="1"/>
  <c r="AJ10" i="179" s="1"/>
  <c r="AL10" i="179" s="1"/>
  <c r="AN10" i="179" s="1"/>
  <c r="AD10" i="179"/>
  <c r="AD9" i="179"/>
  <c r="AF9" i="179" s="1"/>
  <c r="AH9" i="179" s="1"/>
  <c r="AJ9" i="179" s="1"/>
  <c r="AL9" i="179" s="1"/>
  <c r="AN9" i="179" s="1"/>
  <c r="AF8" i="179"/>
  <c r="AH8" i="179" s="1"/>
  <c r="AJ8" i="179" s="1"/>
  <c r="AL8" i="179" s="1"/>
  <c r="AN8" i="179" s="1"/>
  <c r="AD8" i="179"/>
  <c r="AD7" i="179"/>
  <c r="AF7" i="179" s="1"/>
  <c r="AH7" i="179" s="1"/>
  <c r="AJ7" i="179" s="1"/>
  <c r="AL7" i="179" s="1"/>
  <c r="AN7" i="179" s="1"/>
  <c r="AF6" i="179"/>
  <c r="AH6" i="179" s="1"/>
  <c r="AJ6" i="179" s="1"/>
  <c r="AL6" i="179" s="1"/>
  <c r="AN6" i="179" s="1"/>
  <c r="AD6" i="179"/>
  <c r="AM5" i="179" a="1"/>
  <c r="AM15" i="179" s="1"/>
  <c r="AK15" i="179"/>
  <c r="AK11" i="179"/>
  <c r="AK7" i="179"/>
  <c r="AK5" i="179" a="1"/>
  <c r="AK14" i="179" s="1"/>
  <c r="AI17" i="179"/>
  <c r="AI15" i="179"/>
  <c r="AI14" i="179"/>
  <c r="AI13" i="179"/>
  <c r="AI11" i="179"/>
  <c r="AI10" i="179"/>
  <c r="AI9" i="179"/>
  <c r="AI7" i="179"/>
  <c r="AI6" i="179"/>
  <c r="AI5" i="179"/>
  <c r="AI5" i="179" a="1"/>
  <c r="AI16" i="179" s="1"/>
  <c r="AH5" i="179"/>
  <c r="AJ5" i="179" s="1"/>
  <c r="AL5" i="179" s="1"/>
  <c r="AN5" i="179" s="1"/>
  <c r="AG17" i="179"/>
  <c r="AG13" i="179"/>
  <c r="AG9" i="179"/>
  <c r="AG5" i="179"/>
  <c r="AG5" i="179" a="1"/>
  <c r="AG16" i="179" s="1"/>
  <c r="AF5" i="179"/>
  <c r="AE5" i="179" a="1"/>
  <c r="AE15" i="179" s="1"/>
  <c r="AC17" i="179"/>
  <c r="AC15" i="179"/>
  <c r="AC14" i="179"/>
  <c r="AC13" i="179"/>
  <c r="AC11" i="179"/>
  <c r="AC10" i="179"/>
  <c r="AC9" i="179"/>
  <c r="AC7" i="179"/>
  <c r="AC6" i="179"/>
  <c r="AC5" i="179"/>
  <c r="AC5" i="179" a="1"/>
  <c r="AC16" i="179" s="1"/>
  <c r="AH27" i="178"/>
  <c r="AH26" i="178"/>
  <c r="X21" i="178"/>
  <c r="W21" i="178"/>
  <c r="V21" i="178"/>
  <c r="U21" i="178"/>
  <c r="T21" i="178"/>
  <c r="S21" i="178"/>
  <c r="R21" i="178"/>
  <c r="Q21" i="178"/>
  <c r="P21" i="178"/>
  <c r="O21" i="178"/>
  <c r="N21" i="178"/>
  <c r="M21" i="178"/>
  <c r="L21" i="178"/>
  <c r="K21" i="178"/>
  <c r="D11" i="178" s="1"/>
  <c r="F11" i="178" s="1"/>
  <c r="G11" i="178" s="1"/>
  <c r="J21" i="178"/>
  <c r="X20" i="178"/>
  <c r="W20" i="178"/>
  <c r="V20" i="178"/>
  <c r="U20" i="178"/>
  <c r="T20" i="178"/>
  <c r="S20" i="178"/>
  <c r="R20" i="178"/>
  <c r="Q20" i="178"/>
  <c r="P20" i="178"/>
  <c r="O20" i="178"/>
  <c r="N20" i="178"/>
  <c r="M20" i="178"/>
  <c r="L20" i="178"/>
  <c r="D10" i="178" s="1"/>
  <c r="K20" i="178"/>
  <c r="J20" i="178"/>
  <c r="X19" i="178"/>
  <c r="W19" i="178"/>
  <c r="V19" i="178"/>
  <c r="U19" i="178"/>
  <c r="T19" i="178"/>
  <c r="S19" i="178"/>
  <c r="R19" i="178"/>
  <c r="Q19" i="178"/>
  <c r="P19" i="178"/>
  <c r="O19" i="178"/>
  <c r="N19" i="178"/>
  <c r="M19" i="178"/>
  <c r="L19" i="178"/>
  <c r="K19" i="178"/>
  <c r="J19" i="178"/>
  <c r="D9" i="178" s="1"/>
  <c r="F9" i="178" s="1"/>
  <c r="G9" i="178" s="1"/>
  <c r="X18" i="178"/>
  <c r="W18" i="178"/>
  <c r="V18" i="178"/>
  <c r="U18" i="178"/>
  <c r="T18" i="178"/>
  <c r="S18" i="178"/>
  <c r="R18" i="178"/>
  <c r="Q18" i="178"/>
  <c r="P18" i="178"/>
  <c r="O18" i="178"/>
  <c r="N18" i="178"/>
  <c r="M18" i="178"/>
  <c r="L18" i="178"/>
  <c r="D8" i="178" s="1"/>
  <c r="K18" i="178"/>
  <c r="J18" i="178"/>
  <c r="AF17" i="178"/>
  <c r="AH17" i="178" s="1"/>
  <c r="AJ17" i="178" s="1"/>
  <c r="AL17" i="178" s="1"/>
  <c r="AN17" i="178" s="1"/>
  <c r="AD17" i="178"/>
  <c r="X17" i="178"/>
  <c r="W17" i="178"/>
  <c r="V17" i="178"/>
  <c r="U17" i="178"/>
  <c r="T17" i="178"/>
  <c r="S17" i="178"/>
  <c r="R17" i="178"/>
  <c r="Q17" i="178"/>
  <c r="P17" i="178"/>
  <c r="O17" i="178"/>
  <c r="N17" i="178"/>
  <c r="M17" i="178"/>
  <c r="D7" i="178" s="1"/>
  <c r="F7" i="178" s="1"/>
  <c r="G7" i="178" s="1"/>
  <c r="L17" i="178"/>
  <c r="K17" i="178"/>
  <c r="J17" i="178"/>
  <c r="AD16" i="178"/>
  <c r="AF16" i="178" s="1"/>
  <c r="AH16" i="178" s="1"/>
  <c r="AJ16" i="178" s="1"/>
  <c r="AL16" i="178" s="1"/>
  <c r="AN16" i="178" s="1"/>
  <c r="X16" i="178"/>
  <c r="W16" i="178"/>
  <c r="V16" i="178"/>
  <c r="U16" i="178"/>
  <c r="T16" i="178"/>
  <c r="S16" i="178"/>
  <c r="R16" i="178"/>
  <c r="Q16" i="178"/>
  <c r="P16" i="178"/>
  <c r="O16" i="178"/>
  <c r="N16" i="178"/>
  <c r="M16" i="178"/>
  <c r="L16" i="178"/>
  <c r="K16" i="178"/>
  <c r="J16" i="178"/>
  <c r="D6" i="178" s="1"/>
  <c r="F16" i="178"/>
  <c r="AD15" i="178"/>
  <c r="AF15" i="178" s="1"/>
  <c r="AH15" i="178" s="1"/>
  <c r="AJ15" i="178" s="1"/>
  <c r="AL15" i="178" s="1"/>
  <c r="AN15" i="178" s="1"/>
  <c r="AH14" i="178"/>
  <c r="AJ14" i="178" s="1"/>
  <c r="AL14" i="178" s="1"/>
  <c r="AN14" i="178" s="1"/>
  <c r="AF14" i="178"/>
  <c r="AD14" i="178"/>
  <c r="AF13" i="178"/>
  <c r="AH13" i="178" s="1"/>
  <c r="AJ13" i="178" s="1"/>
  <c r="AL13" i="178" s="1"/>
  <c r="AN13" i="178" s="1"/>
  <c r="AD13" i="178"/>
  <c r="AD12" i="178"/>
  <c r="AF12" i="178" s="1"/>
  <c r="AH12" i="178" s="1"/>
  <c r="AJ12" i="178" s="1"/>
  <c r="AL12" i="178" s="1"/>
  <c r="AN12" i="178" s="1"/>
  <c r="AF11" i="178"/>
  <c r="AH11" i="178" s="1"/>
  <c r="AJ11" i="178" s="1"/>
  <c r="AL11" i="178" s="1"/>
  <c r="AN11" i="178" s="1"/>
  <c r="AD11" i="178"/>
  <c r="E11" i="178"/>
  <c r="AD10" i="178"/>
  <c r="AF10" i="178" s="1"/>
  <c r="AH10" i="178" s="1"/>
  <c r="AJ10" i="178" s="1"/>
  <c r="AL10" i="178" s="1"/>
  <c r="AN10" i="178" s="1"/>
  <c r="AF9" i="178"/>
  <c r="AH9" i="178" s="1"/>
  <c r="AJ9" i="178" s="1"/>
  <c r="AL9" i="178" s="1"/>
  <c r="AN9" i="178" s="1"/>
  <c r="AD9" i="178"/>
  <c r="E9" i="178"/>
  <c r="AD8" i="178"/>
  <c r="AF8" i="178" s="1"/>
  <c r="AH8" i="178" s="1"/>
  <c r="AJ8" i="178" s="1"/>
  <c r="AL8" i="178" s="1"/>
  <c r="AN8" i="178" s="1"/>
  <c r="AF7" i="178"/>
  <c r="AH7" i="178" s="1"/>
  <c r="AJ7" i="178" s="1"/>
  <c r="AL7" i="178" s="1"/>
  <c r="AN7" i="178" s="1"/>
  <c r="AD7" i="178"/>
  <c r="E7" i="178"/>
  <c r="AD6" i="178"/>
  <c r="AF6" i="178" s="1"/>
  <c r="AH6" i="178" s="1"/>
  <c r="AJ6" i="178" s="1"/>
  <c r="AL6" i="178" s="1"/>
  <c r="AN6" i="178" s="1"/>
  <c r="AM14" i="178"/>
  <c r="AM10" i="178"/>
  <c r="AM6" i="178"/>
  <c r="AM5" i="178" a="1"/>
  <c r="AM17" i="178" s="1"/>
  <c r="AK17" i="178"/>
  <c r="AK15" i="178"/>
  <c r="AK13" i="178"/>
  <c r="AK11" i="178"/>
  <c r="AK9" i="178"/>
  <c r="AK7" i="178"/>
  <c r="AK5" i="178"/>
  <c r="AK5" i="178" a="1"/>
  <c r="AK16" i="178" s="1"/>
  <c r="AI5" i="178" a="1"/>
  <c r="AG15" i="178"/>
  <c r="AG11" i="178"/>
  <c r="AG7" i="178"/>
  <c r="AG5" i="178" a="1"/>
  <c r="AG14" i="178" s="1"/>
  <c r="AF5" i="178"/>
  <c r="AH5" i="178" s="1"/>
  <c r="AJ5" i="178" s="1"/>
  <c r="AL5" i="178" s="1"/>
  <c r="AN5" i="178" s="1"/>
  <c r="AE14" i="178"/>
  <c r="AE10" i="178"/>
  <c r="AE6" i="178"/>
  <c r="AE5" i="178" a="1"/>
  <c r="AE17" i="178" s="1"/>
  <c r="AC12" i="178"/>
  <c r="AC8" i="178"/>
  <c r="AC5" i="178" a="1"/>
  <c r="AC16" i="178" s="1"/>
  <c r="AH27" i="177"/>
  <c r="AH26" i="177"/>
  <c r="X21" i="177"/>
  <c r="W21" i="177"/>
  <c r="V21" i="177"/>
  <c r="U21" i="177"/>
  <c r="T21" i="177"/>
  <c r="S21" i="177"/>
  <c r="R21" i="177"/>
  <c r="Q21" i="177"/>
  <c r="P21" i="177"/>
  <c r="O21" i="177"/>
  <c r="N21" i="177"/>
  <c r="M21" i="177"/>
  <c r="L21" i="177"/>
  <c r="K21" i="177"/>
  <c r="D11" i="177" s="1"/>
  <c r="F11" i="177" s="1"/>
  <c r="G11" i="177" s="1"/>
  <c r="J21" i="177"/>
  <c r="X20" i="177"/>
  <c r="W20" i="177"/>
  <c r="V20" i="177"/>
  <c r="U20" i="177"/>
  <c r="T20" i="177"/>
  <c r="S20" i="177"/>
  <c r="R20" i="177"/>
  <c r="Q20" i="177"/>
  <c r="P20" i="177"/>
  <c r="O20" i="177"/>
  <c r="N20" i="177"/>
  <c r="M20" i="177"/>
  <c r="L20" i="177"/>
  <c r="D10" i="177" s="1"/>
  <c r="F10" i="177" s="1"/>
  <c r="K20" i="177"/>
  <c r="J20" i="177"/>
  <c r="X19" i="177"/>
  <c r="W19" i="177"/>
  <c r="V19" i="177"/>
  <c r="U19" i="177"/>
  <c r="T19" i="177"/>
  <c r="S19" i="177"/>
  <c r="R19" i="177"/>
  <c r="Q19" i="177"/>
  <c r="P19" i="177"/>
  <c r="O19" i="177"/>
  <c r="N19" i="177"/>
  <c r="M19" i="177"/>
  <c r="L19" i="177"/>
  <c r="K19" i="177"/>
  <c r="J19" i="177"/>
  <c r="D9" i="177" s="1"/>
  <c r="F9" i="177" s="1"/>
  <c r="G9" i="177" s="1"/>
  <c r="X18" i="177"/>
  <c r="W18" i="177"/>
  <c r="V18" i="177"/>
  <c r="U18" i="177"/>
  <c r="T18" i="177"/>
  <c r="S18" i="177"/>
  <c r="R18" i="177"/>
  <c r="Q18" i="177"/>
  <c r="P18" i="177"/>
  <c r="O18" i="177"/>
  <c r="N18" i="177"/>
  <c r="M18" i="177"/>
  <c r="L18" i="177"/>
  <c r="K18" i="177"/>
  <c r="J18" i="177"/>
  <c r="AJ17" i="177"/>
  <c r="AL17" i="177" s="1"/>
  <c r="AN17" i="177" s="1"/>
  <c r="AF17" i="177"/>
  <c r="AH17" i="177" s="1"/>
  <c r="AD17" i="177"/>
  <c r="X17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D7" i="177" s="1"/>
  <c r="J17" i="177"/>
  <c r="AD16" i="177"/>
  <c r="AF16" i="177" s="1"/>
  <c r="AH16" i="177" s="1"/>
  <c r="AJ16" i="177" s="1"/>
  <c r="AL16" i="177" s="1"/>
  <c r="AN16" i="177" s="1"/>
  <c r="X16" i="177"/>
  <c r="W16" i="177"/>
  <c r="V16" i="177"/>
  <c r="U16" i="177"/>
  <c r="T16" i="177"/>
  <c r="S16" i="177"/>
  <c r="R16" i="177"/>
  <c r="Q16" i="177"/>
  <c r="P16" i="177"/>
  <c r="O16" i="177"/>
  <c r="N16" i="177"/>
  <c r="M16" i="177"/>
  <c r="L16" i="177"/>
  <c r="K16" i="177"/>
  <c r="J16" i="177"/>
  <c r="D6" i="177" s="1"/>
  <c r="F16" i="177"/>
  <c r="AD15" i="177"/>
  <c r="AF15" i="177" s="1"/>
  <c r="AH15" i="177" s="1"/>
  <c r="AJ15" i="177" s="1"/>
  <c r="AL15" i="177" s="1"/>
  <c r="AN15" i="177" s="1"/>
  <c r="AD14" i="177"/>
  <c r="AF14" i="177" s="1"/>
  <c r="AH14" i="177" s="1"/>
  <c r="AJ14" i="177" s="1"/>
  <c r="AL14" i="177" s="1"/>
  <c r="AN14" i="177" s="1"/>
  <c r="AF13" i="177"/>
  <c r="AH13" i="177" s="1"/>
  <c r="AJ13" i="177" s="1"/>
  <c r="AL13" i="177" s="1"/>
  <c r="AN13" i="177" s="1"/>
  <c r="AD13" i="177"/>
  <c r="AF12" i="177"/>
  <c r="AH12" i="177" s="1"/>
  <c r="AJ12" i="177" s="1"/>
  <c r="AL12" i="177" s="1"/>
  <c r="AN12" i="177" s="1"/>
  <c r="AD12" i="177"/>
  <c r="AF11" i="177"/>
  <c r="AH11" i="177" s="1"/>
  <c r="AJ11" i="177" s="1"/>
  <c r="AL11" i="177" s="1"/>
  <c r="AN11" i="177" s="1"/>
  <c r="AD11" i="177"/>
  <c r="AJ10" i="177"/>
  <c r="AL10" i="177" s="1"/>
  <c r="AN10" i="177" s="1"/>
  <c r="AF10" i="177"/>
  <c r="AH10" i="177" s="1"/>
  <c r="AD10" i="177"/>
  <c r="G10" i="177"/>
  <c r="E10" i="177"/>
  <c r="AF9" i="177"/>
  <c r="AH9" i="177" s="1"/>
  <c r="AJ9" i="177" s="1"/>
  <c r="AL9" i="177" s="1"/>
  <c r="AN9" i="177" s="1"/>
  <c r="AD9" i="177"/>
  <c r="AD8" i="177"/>
  <c r="AF8" i="177" s="1"/>
  <c r="AH8" i="177" s="1"/>
  <c r="AJ8" i="177" s="1"/>
  <c r="AL8" i="177" s="1"/>
  <c r="AN8" i="177" s="1"/>
  <c r="D8" i="177"/>
  <c r="F8" i="177" s="1"/>
  <c r="G8" i="177" s="1"/>
  <c r="AF7" i="177"/>
  <c r="AH7" i="177" s="1"/>
  <c r="AJ7" i="177" s="1"/>
  <c r="AL7" i="177" s="1"/>
  <c r="AN7" i="177" s="1"/>
  <c r="AD7" i="177"/>
  <c r="AD6" i="177"/>
  <c r="AF6" i="177" s="1"/>
  <c r="AH6" i="177" s="1"/>
  <c r="AJ6" i="177" s="1"/>
  <c r="AL6" i="177" s="1"/>
  <c r="AN6" i="177" s="1"/>
  <c r="AM17" i="177"/>
  <c r="AM15" i="177"/>
  <c r="AM14" i="177"/>
  <c r="AM13" i="177"/>
  <c r="AM11" i="177"/>
  <c r="AM10" i="177"/>
  <c r="AM9" i="177"/>
  <c r="AM7" i="177"/>
  <c r="AM6" i="177"/>
  <c r="AM5" i="177"/>
  <c r="AM5" i="177" a="1"/>
  <c r="AM16" i="177" s="1"/>
  <c r="AK17" i="177"/>
  <c r="AK14" i="177"/>
  <c r="AK13" i="177"/>
  <c r="AK10" i="177"/>
  <c r="AK9" i="177"/>
  <c r="AK6" i="177"/>
  <c r="AK5" i="177"/>
  <c r="AK5" i="177" a="1"/>
  <c r="AK16" i="177" s="1"/>
  <c r="AI5" i="177" a="1"/>
  <c r="AI15" i="177" s="1"/>
  <c r="AG15" i="177"/>
  <c r="AG11" i="177"/>
  <c r="AG7" i="177"/>
  <c r="AG5" i="177" a="1"/>
  <c r="AG14" i="177" s="1"/>
  <c r="AF5" i="177"/>
  <c r="AH5" i="177" s="1"/>
  <c r="AJ5" i="177" s="1"/>
  <c r="AL5" i="177" s="1"/>
  <c r="AN5" i="177" s="1"/>
  <c r="AE15" i="177"/>
  <c r="AE14" i="177"/>
  <c r="AE11" i="177"/>
  <c r="AE10" i="177"/>
  <c r="AE7" i="177"/>
  <c r="AE6" i="177"/>
  <c r="AE5" i="177" a="1"/>
  <c r="AE17" i="177" s="1"/>
  <c r="AC5" i="177" a="1"/>
  <c r="AC15" i="177" s="1"/>
  <c r="AH27" i="176"/>
  <c r="AH26" i="176"/>
  <c r="X21" i="176"/>
  <c r="W21" i="176"/>
  <c r="V21" i="176"/>
  <c r="U21" i="176"/>
  <c r="T21" i="176"/>
  <c r="S21" i="176"/>
  <c r="R21" i="176"/>
  <c r="Q21" i="176"/>
  <c r="P21" i="176"/>
  <c r="O21" i="176"/>
  <c r="N21" i="176"/>
  <c r="M21" i="176"/>
  <c r="L21" i="176"/>
  <c r="K21" i="176"/>
  <c r="D11" i="176" s="1"/>
  <c r="F11" i="176" s="1"/>
  <c r="G11" i="176" s="1"/>
  <c r="J21" i="176"/>
  <c r="X20" i="176"/>
  <c r="W20" i="176"/>
  <c r="V20" i="176"/>
  <c r="U20" i="176"/>
  <c r="T20" i="176"/>
  <c r="S20" i="176"/>
  <c r="R20" i="176"/>
  <c r="Q20" i="176"/>
  <c r="P20" i="176"/>
  <c r="O20" i="176"/>
  <c r="N20" i="176"/>
  <c r="M20" i="176"/>
  <c r="L20" i="176"/>
  <c r="D10" i="176" s="1"/>
  <c r="K20" i="176"/>
  <c r="J20" i="176"/>
  <c r="X19" i="176"/>
  <c r="W19" i="176"/>
  <c r="V19" i="176"/>
  <c r="U19" i="176"/>
  <c r="T19" i="176"/>
  <c r="S19" i="176"/>
  <c r="R19" i="176"/>
  <c r="Q19" i="176"/>
  <c r="P19" i="176"/>
  <c r="O19" i="176"/>
  <c r="N19" i="176"/>
  <c r="M19" i="176"/>
  <c r="L19" i="176"/>
  <c r="K19" i="176"/>
  <c r="J19" i="176"/>
  <c r="D9" i="176" s="1"/>
  <c r="F9" i="176" s="1"/>
  <c r="G9" i="176" s="1"/>
  <c r="X18" i="176"/>
  <c r="W18" i="176"/>
  <c r="V18" i="176"/>
  <c r="U18" i="176"/>
  <c r="T18" i="176"/>
  <c r="S18" i="176"/>
  <c r="R18" i="176"/>
  <c r="Q18" i="176"/>
  <c r="P18" i="176"/>
  <c r="O18" i="176"/>
  <c r="N18" i="176"/>
  <c r="M18" i="176"/>
  <c r="L18" i="176"/>
  <c r="D8" i="176" s="1"/>
  <c r="K18" i="176"/>
  <c r="J18" i="176"/>
  <c r="AF17" i="176"/>
  <c r="AH17" i="176" s="1"/>
  <c r="AJ17" i="176" s="1"/>
  <c r="AL17" i="176" s="1"/>
  <c r="AN17" i="176" s="1"/>
  <c r="AD17" i="176"/>
  <c r="X17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AF16" i="176"/>
  <c r="AH16" i="176" s="1"/>
  <c r="AJ16" i="176" s="1"/>
  <c r="AL16" i="176" s="1"/>
  <c r="AN16" i="176" s="1"/>
  <c r="AD16" i="176"/>
  <c r="X16" i="176"/>
  <c r="W16" i="176"/>
  <c r="V16" i="176"/>
  <c r="U16" i="176"/>
  <c r="T16" i="176"/>
  <c r="S16" i="176"/>
  <c r="R16" i="176"/>
  <c r="Q16" i="176"/>
  <c r="P16" i="176"/>
  <c r="O16" i="176"/>
  <c r="N16" i="176"/>
  <c r="M16" i="176"/>
  <c r="L16" i="176"/>
  <c r="K16" i="176"/>
  <c r="J16" i="176"/>
  <c r="D6" i="176" s="1"/>
  <c r="F16" i="176"/>
  <c r="AD15" i="176"/>
  <c r="AF15" i="176" s="1"/>
  <c r="AH15" i="176" s="1"/>
  <c r="AJ15" i="176" s="1"/>
  <c r="AL15" i="176" s="1"/>
  <c r="AN15" i="176" s="1"/>
  <c r="AF14" i="176"/>
  <c r="AH14" i="176" s="1"/>
  <c r="AJ14" i="176" s="1"/>
  <c r="AL14" i="176" s="1"/>
  <c r="AN14" i="176" s="1"/>
  <c r="AD14" i="176"/>
  <c r="AF13" i="176"/>
  <c r="AH13" i="176" s="1"/>
  <c r="AJ13" i="176" s="1"/>
  <c r="AL13" i="176" s="1"/>
  <c r="AN13" i="176" s="1"/>
  <c r="AD13" i="176"/>
  <c r="AD12" i="176"/>
  <c r="AF12" i="176" s="1"/>
  <c r="AH12" i="176" s="1"/>
  <c r="AJ12" i="176" s="1"/>
  <c r="AL12" i="176" s="1"/>
  <c r="AN12" i="176" s="1"/>
  <c r="AF11" i="176"/>
  <c r="AH11" i="176" s="1"/>
  <c r="AJ11" i="176" s="1"/>
  <c r="AL11" i="176" s="1"/>
  <c r="AN11" i="176" s="1"/>
  <c r="AD11" i="176"/>
  <c r="E11" i="176"/>
  <c r="AD10" i="176"/>
  <c r="AF10" i="176" s="1"/>
  <c r="AH10" i="176" s="1"/>
  <c r="AJ10" i="176" s="1"/>
  <c r="AL10" i="176" s="1"/>
  <c r="AN10" i="176" s="1"/>
  <c r="AF9" i="176"/>
  <c r="AH9" i="176" s="1"/>
  <c r="AJ9" i="176" s="1"/>
  <c r="AL9" i="176" s="1"/>
  <c r="AN9" i="176" s="1"/>
  <c r="AD9" i="176"/>
  <c r="E9" i="176"/>
  <c r="AD8" i="176"/>
  <c r="AF8" i="176" s="1"/>
  <c r="AH8" i="176" s="1"/>
  <c r="AJ8" i="176" s="1"/>
  <c r="AL8" i="176" s="1"/>
  <c r="AN8" i="176" s="1"/>
  <c r="AF7" i="176"/>
  <c r="AH7" i="176" s="1"/>
  <c r="AJ7" i="176" s="1"/>
  <c r="AL7" i="176" s="1"/>
  <c r="AN7" i="176" s="1"/>
  <c r="AD7" i="176"/>
  <c r="AD6" i="176"/>
  <c r="AF6" i="176" s="1"/>
  <c r="AH6" i="176" s="1"/>
  <c r="AJ6" i="176" s="1"/>
  <c r="AL6" i="176" s="1"/>
  <c r="AN6" i="176" s="1"/>
  <c r="AM15" i="176"/>
  <c r="AM14" i="176"/>
  <c r="AM11" i="176"/>
  <c r="AM10" i="176"/>
  <c r="AM7" i="176"/>
  <c r="AM6" i="176"/>
  <c r="AM5" i="176" a="1"/>
  <c r="AM17" i="176" s="1"/>
  <c r="AK17" i="176"/>
  <c r="AK15" i="176"/>
  <c r="AK14" i="176"/>
  <c r="AK13" i="176"/>
  <c r="AK11" i="176"/>
  <c r="AK10" i="176"/>
  <c r="AK9" i="176"/>
  <c r="AK7" i="176"/>
  <c r="AK6" i="176"/>
  <c r="AK5" i="176"/>
  <c r="AK5" i="176" a="1"/>
  <c r="AK16" i="176" s="1"/>
  <c r="AI16" i="176"/>
  <c r="AI12" i="176"/>
  <c r="AI5" i="176" a="1"/>
  <c r="AG15" i="176"/>
  <c r="AG11" i="176"/>
  <c r="AG7" i="176"/>
  <c r="AG5" i="176" a="1"/>
  <c r="AG14" i="176" s="1"/>
  <c r="AF5" i="176"/>
  <c r="AH5" i="176" s="1"/>
  <c r="AJ5" i="176" s="1"/>
  <c r="AL5" i="176" s="1"/>
  <c r="AN5" i="176" s="1"/>
  <c r="AN21" i="176" s="1"/>
  <c r="AE15" i="176"/>
  <c r="AE14" i="176"/>
  <c r="AE11" i="176"/>
  <c r="AE10" i="176"/>
  <c r="AE7" i="176"/>
  <c r="AE6" i="176"/>
  <c r="AE5" i="176" a="1"/>
  <c r="AE17" i="176" s="1"/>
  <c r="AC16" i="176"/>
  <c r="AC12" i="176"/>
  <c r="AC5" i="176" a="1"/>
  <c r="AH27" i="1"/>
  <c r="AH26" i="1"/>
  <c r="AH29" i="188" l="1"/>
  <c r="AH30" i="188" s="1"/>
  <c r="AH28" i="188"/>
  <c r="AH28" i="187"/>
  <c r="AH29" i="187" s="1"/>
  <c r="AH30" i="187" s="1"/>
  <c r="F8" i="191"/>
  <c r="G8" i="191" s="1"/>
  <c r="E8" i="191"/>
  <c r="AN21" i="191"/>
  <c r="AJ21" i="191"/>
  <c r="AF21" i="191"/>
  <c r="AQ21" i="191"/>
  <c r="AM21" i="191"/>
  <c r="AK21" i="191"/>
  <c r="AE21" i="191"/>
  <c r="AP21" i="191"/>
  <c r="AI21" i="191"/>
  <c r="AD21" i="191"/>
  <c r="AO21" i="191"/>
  <c r="AH21" i="191"/>
  <c r="AC21" i="191"/>
  <c r="E9" i="191"/>
  <c r="F9" i="191"/>
  <c r="G9" i="191" s="1"/>
  <c r="AG21" i="191"/>
  <c r="F6" i="191"/>
  <c r="E6" i="191"/>
  <c r="AL21" i="191"/>
  <c r="AH28" i="191"/>
  <c r="AH29" i="191" s="1"/>
  <c r="AH30" i="191" s="1"/>
  <c r="F8" i="192"/>
  <c r="G8" i="192" s="1"/>
  <c r="E8" i="192"/>
  <c r="D7" i="191"/>
  <c r="AN21" i="192"/>
  <c r="AJ21" i="192"/>
  <c r="AF21" i="192"/>
  <c r="AQ21" i="192"/>
  <c r="AM21" i="192"/>
  <c r="AI21" i="192"/>
  <c r="AE21" i="192"/>
  <c r="AL21" i="192"/>
  <c r="AD21" i="192"/>
  <c r="AG21" i="192"/>
  <c r="AK21" i="192"/>
  <c r="AC21" i="192"/>
  <c r="AO21" i="192"/>
  <c r="AP21" i="192"/>
  <c r="AH21" i="192"/>
  <c r="AQ21" i="193"/>
  <c r="AM21" i="193"/>
  <c r="AI21" i="193"/>
  <c r="AE21" i="193"/>
  <c r="AP21" i="193"/>
  <c r="AL21" i="193"/>
  <c r="AH21" i="193"/>
  <c r="AD21" i="193"/>
  <c r="AO21" i="193"/>
  <c r="AK21" i="193"/>
  <c r="AG21" i="193"/>
  <c r="AC21" i="193"/>
  <c r="AN21" i="193"/>
  <c r="AJ21" i="193"/>
  <c r="AF21" i="193"/>
  <c r="AE7" i="191"/>
  <c r="AE12" i="191"/>
  <c r="AG6" i="191"/>
  <c r="AG12" i="191"/>
  <c r="AK7" i="191"/>
  <c r="AM8" i="191"/>
  <c r="AG9" i="192"/>
  <c r="E10" i="192"/>
  <c r="AE14" i="193"/>
  <c r="AE10" i="193"/>
  <c r="AE6" i="193"/>
  <c r="AE17" i="193"/>
  <c r="AE13" i="193"/>
  <c r="AE9" i="193"/>
  <c r="AE5" i="193"/>
  <c r="AE12" i="193"/>
  <c r="AG15" i="193"/>
  <c r="AG11" i="193"/>
  <c r="AG7" i="193"/>
  <c r="AG14" i="193"/>
  <c r="AG10" i="193"/>
  <c r="AG6" i="193"/>
  <c r="AG12" i="193"/>
  <c r="D14" i="193"/>
  <c r="F6" i="193"/>
  <c r="AQ21" i="194"/>
  <c r="AM21" i="194"/>
  <c r="AI21" i="194"/>
  <c r="AE21" i="194"/>
  <c r="AP21" i="194"/>
  <c r="AL21" i="194"/>
  <c r="AH21" i="194"/>
  <c r="AD21" i="194"/>
  <c r="AO21" i="194"/>
  <c r="AK21" i="194"/>
  <c r="AG21" i="194"/>
  <c r="AC21" i="194"/>
  <c r="AN21" i="194"/>
  <c r="AJ21" i="194"/>
  <c r="AF21" i="194"/>
  <c r="F6" i="194"/>
  <c r="E6" i="194"/>
  <c r="D14" i="194"/>
  <c r="AM14" i="191"/>
  <c r="AM10" i="191"/>
  <c r="AM6" i="191"/>
  <c r="AM9" i="191"/>
  <c r="AM15" i="191"/>
  <c r="AE14" i="192"/>
  <c r="AE10" i="192"/>
  <c r="AE6" i="192"/>
  <c r="AE17" i="192"/>
  <c r="AE13" i="192"/>
  <c r="AE9" i="192"/>
  <c r="AE5" i="192"/>
  <c r="AE12" i="192"/>
  <c r="AG15" i="192"/>
  <c r="AG11" i="192"/>
  <c r="AG7" i="192"/>
  <c r="AG14" i="192"/>
  <c r="AG10" i="192"/>
  <c r="AG6" i="192"/>
  <c r="AG12" i="192"/>
  <c r="G6" i="192"/>
  <c r="F11" i="192"/>
  <c r="G11" i="192" s="1"/>
  <c r="D14" i="192"/>
  <c r="AE7" i="193"/>
  <c r="AE15" i="193"/>
  <c r="AG5" i="193"/>
  <c r="AG13" i="193"/>
  <c r="AM14" i="193"/>
  <c r="AM10" i="193"/>
  <c r="AM6" i="193"/>
  <c r="AM17" i="193"/>
  <c r="AM13" i="193"/>
  <c r="AM9" i="193"/>
  <c r="AM5" i="193"/>
  <c r="AM12" i="193"/>
  <c r="E6" i="193"/>
  <c r="E9" i="193"/>
  <c r="AE14" i="191"/>
  <c r="AE10" i="191"/>
  <c r="AE6" i="191"/>
  <c r="AE9" i="191"/>
  <c r="AE15" i="191"/>
  <c r="AG15" i="191"/>
  <c r="AG11" i="191"/>
  <c r="AG7" i="191"/>
  <c r="AG9" i="191"/>
  <c r="AG14" i="191"/>
  <c r="AK17" i="191"/>
  <c r="AK13" i="191"/>
  <c r="AK9" i="191"/>
  <c r="AK5" i="191"/>
  <c r="AK10" i="191"/>
  <c r="AK15" i="191"/>
  <c r="AM5" i="191"/>
  <c r="AM11" i="191"/>
  <c r="AM16" i="191"/>
  <c r="AE7" i="192"/>
  <c r="AE15" i="192"/>
  <c r="AG5" i="192"/>
  <c r="AG13" i="192"/>
  <c r="AM14" i="192"/>
  <c r="AM10" i="192"/>
  <c r="AM6" i="192"/>
  <c r="AM17" i="192"/>
  <c r="AM13" i="192"/>
  <c r="AM9" i="192"/>
  <c r="AM5" i="192"/>
  <c r="AM12" i="192"/>
  <c r="E6" i="192"/>
  <c r="D7" i="192"/>
  <c r="AH29" i="192"/>
  <c r="AH30" i="192" s="1"/>
  <c r="AH32" i="192" s="1"/>
  <c r="AH28" i="192"/>
  <c r="AE8" i="193"/>
  <c r="AE16" i="193"/>
  <c r="AG8" i="193"/>
  <c r="AG16" i="193"/>
  <c r="AM7" i="193"/>
  <c r="AM15" i="193"/>
  <c r="F8" i="193"/>
  <c r="G8" i="193" s="1"/>
  <c r="E8" i="193"/>
  <c r="F10" i="194"/>
  <c r="G10" i="194" s="1"/>
  <c r="E10" i="194"/>
  <c r="F8" i="194"/>
  <c r="G8" i="194" s="1"/>
  <c r="E8" i="194"/>
  <c r="AK8" i="192"/>
  <c r="AK12" i="192"/>
  <c r="AK16" i="192"/>
  <c r="AK8" i="193"/>
  <c r="AK12" i="193"/>
  <c r="AK16" i="193"/>
  <c r="AC8" i="191"/>
  <c r="AC12" i="191"/>
  <c r="AI8" i="191"/>
  <c r="AI12" i="191"/>
  <c r="AC8" i="192"/>
  <c r="AC12" i="192"/>
  <c r="AI8" i="192"/>
  <c r="AI12" i="192"/>
  <c r="AK5" i="192"/>
  <c r="AK9" i="192"/>
  <c r="AK13" i="192"/>
  <c r="AC8" i="193"/>
  <c r="AC12" i="193"/>
  <c r="AI8" i="193"/>
  <c r="AI12" i="193"/>
  <c r="AK5" i="193"/>
  <c r="AK9" i="193"/>
  <c r="AK13" i="193"/>
  <c r="AC15" i="194"/>
  <c r="AC11" i="194"/>
  <c r="AC7" i="194"/>
  <c r="AC14" i="194"/>
  <c r="AC10" i="194"/>
  <c r="AC6" i="194"/>
  <c r="AC17" i="194"/>
  <c r="AC13" i="194"/>
  <c r="AC9" i="194"/>
  <c r="AC5" i="194"/>
  <c r="AI15" i="194"/>
  <c r="AI11" i="194"/>
  <c r="AI7" i="194"/>
  <c r="AI14" i="194"/>
  <c r="AI10" i="194"/>
  <c r="AI6" i="194"/>
  <c r="AI17" i="194"/>
  <c r="AI13" i="194"/>
  <c r="AI9" i="194"/>
  <c r="AI5" i="194"/>
  <c r="E9" i="194"/>
  <c r="AG8" i="194"/>
  <c r="AG12" i="194"/>
  <c r="AG16" i="194"/>
  <c r="AK6" i="194"/>
  <c r="AK10" i="194"/>
  <c r="AK14" i="194"/>
  <c r="AM7" i="194"/>
  <c r="AM11" i="194"/>
  <c r="AM15" i="194"/>
  <c r="AE8" i="194"/>
  <c r="AE12" i="194"/>
  <c r="AE16" i="194"/>
  <c r="AG5" i="194"/>
  <c r="AG9" i="194"/>
  <c r="AG13" i="194"/>
  <c r="AG17" i="194"/>
  <c r="AK7" i="194"/>
  <c r="AK11" i="194"/>
  <c r="AK15" i="194"/>
  <c r="AM8" i="194"/>
  <c r="AM12" i="194"/>
  <c r="AM16" i="194"/>
  <c r="AH28" i="193"/>
  <c r="AH29" i="193" s="1"/>
  <c r="AH30" i="193" s="1"/>
  <c r="AH32" i="193" s="1"/>
  <c r="AE5" i="194"/>
  <c r="AE9" i="194"/>
  <c r="AE13" i="194"/>
  <c r="AG6" i="194"/>
  <c r="AG10" i="194"/>
  <c r="AK8" i="194"/>
  <c r="AK12" i="194"/>
  <c r="AM5" i="194"/>
  <c r="AM9" i="194"/>
  <c r="AM13" i="194"/>
  <c r="AH28" i="194"/>
  <c r="AH29" i="194" s="1"/>
  <c r="AH30" i="194" s="1"/>
  <c r="AH32" i="194" s="1"/>
  <c r="E6" i="184"/>
  <c r="D14" i="184"/>
  <c r="F6" i="184"/>
  <c r="AN21" i="185"/>
  <c r="AJ21" i="185"/>
  <c r="AF21" i="185"/>
  <c r="AQ21" i="185"/>
  <c r="AM21" i="185"/>
  <c r="AI21" i="185"/>
  <c r="AE21" i="185"/>
  <c r="AP21" i="185"/>
  <c r="AL21" i="185"/>
  <c r="AH21" i="185"/>
  <c r="AD21" i="185"/>
  <c r="AG21" i="185"/>
  <c r="AC21" i="185"/>
  <c r="AK21" i="185"/>
  <c r="AO21" i="185"/>
  <c r="E10" i="183"/>
  <c r="F10" i="183"/>
  <c r="G10" i="183" s="1"/>
  <c r="AP21" i="184"/>
  <c r="AL21" i="184"/>
  <c r="AH21" i="184"/>
  <c r="AD21" i="184"/>
  <c r="AO21" i="184"/>
  <c r="AK21" i="184"/>
  <c r="AG21" i="184"/>
  <c r="AC21" i="184"/>
  <c r="AQ21" i="184"/>
  <c r="AM21" i="184"/>
  <c r="AI21" i="184"/>
  <c r="AE21" i="184"/>
  <c r="AN21" i="184"/>
  <c r="AJ21" i="184"/>
  <c r="AF21" i="184"/>
  <c r="E8" i="184"/>
  <c r="F8" i="184"/>
  <c r="G8" i="184" s="1"/>
  <c r="AN21" i="186"/>
  <c r="AJ21" i="186"/>
  <c r="AF21" i="186"/>
  <c r="AQ21" i="186"/>
  <c r="AM21" i="186"/>
  <c r="AI21" i="186"/>
  <c r="AE21" i="186"/>
  <c r="AP21" i="186"/>
  <c r="AL21" i="186"/>
  <c r="AH21" i="186"/>
  <c r="AD21" i="186"/>
  <c r="AC21" i="186"/>
  <c r="AO21" i="186"/>
  <c r="AG21" i="186"/>
  <c r="AK21" i="186"/>
  <c r="E8" i="183"/>
  <c r="F8" i="183"/>
  <c r="G8" i="183" s="1"/>
  <c r="E10" i="184"/>
  <c r="F10" i="184"/>
  <c r="G10" i="184" s="1"/>
  <c r="E6" i="183"/>
  <c r="D14" i="183"/>
  <c r="F6" i="183"/>
  <c r="AP21" i="183"/>
  <c r="AL21" i="183"/>
  <c r="AH21" i="183"/>
  <c r="AD21" i="183"/>
  <c r="AO21" i="183"/>
  <c r="AK21" i="183"/>
  <c r="AG21" i="183"/>
  <c r="AC21" i="183"/>
  <c r="AQ21" i="183"/>
  <c r="AN21" i="183"/>
  <c r="AJ21" i="183"/>
  <c r="AF21" i="183"/>
  <c r="AM21" i="183"/>
  <c r="AI21" i="183"/>
  <c r="AE21" i="183"/>
  <c r="AH32" i="183"/>
  <c r="AH33" i="183"/>
  <c r="F6" i="186"/>
  <c r="E6" i="186"/>
  <c r="D14" i="186"/>
  <c r="AP21" i="187"/>
  <c r="AL21" i="187"/>
  <c r="AO21" i="187"/>
  <c r="AK21" i="187"/>
  <c r="AG21" i="187"/>
  <c r="AC21" i="187"/>
  <c r="AN21" i="187"/>
  <c r="AJ21" i="187"/>
  <c r="AF21" i="187"/>
  <c r="AQ21" i="187"/>
  <c r="AE21" i="187"/>
  <c r="AM21" i="187"/>
  <c r="AD21" i="187"/>
  <c r="AI21" i="187"/>
  <c r="AH21" i="187"/>
  <c r="F8" i="187"/>
  <c r="G8" i="187" s="1"/>
  <c r="E8" i="187"/>
  <c r="AK8" i="183"/>
  <c r="AK12" i="184"/>
  <c r="F8" i="186"/>
  <c r="G8" i="186" s="1"/>
  <c r="E8" i="186"/>
  <c r="AC8" i="183"/>
  <c r="AC12" i="183"/>
  <c r="AC16" i="183"/>
  <c r="AI8" i="183"/>
  <c r="AI12" i="183"/>
  <c r="AI16" i="183"/>
  <c r="AK5" i="183"/>
  <c r="AK9" i="183"/>
  <c r="AK13" i="183"/>
  <c r="AK17" i="183"/>
  <c r="E7" i="183"/>
  <c r="E9" i="183"/>
  <c r="E11" i="183"/>
  <c r="AC8" i="184"/>
  <c r="AC12" i="184"/>
  <c r="AC16" i="184"/>
  <c r="AI8" i="184"/>
  <c r="AI12" i="184"/>
  <c r="AI16" i="184"/>
  <c r="AK5" i="184"/>
  <c r="AK9" i="184"/>
  <c r="AK13" i="184"/>
  <c r="AK17" i="184"/>
  <c r="AM6" i="184"/>
  <c r="AM10" i="184"/>
  <c r="AM14" i="184"/>
  <c r="E7" i="184"/>
  <c r="E9" i="184"/>
  <c r="E11" i="184"/>
  <c r="AG8" i="185"/>
  <c r="F9" i="185"/>
  <c r="G9" i="185" s="1"/>
  <c r="F7" i="186"/>
  <c r="G7" i="186" s="1"/>
  <c r="F10" i="187"/>
  <c r="G10" i="187" s="1"/>
  <c r="E10" i="187"/>
  <c r="E7" i="189"/>
  <c r="F7" i="189"/>
  <c r="G7" i="189" s="1"/>
  <c r="AK12" i="183"/>
  <c r="AK16" i="183"/>
  <c r="AK16" i="184"/>
  <c r="F6" i="185"/>
  <c r="E6" i="185"/>
  <c r="F10" i="185"/>
  <c r="G10" i="185" s="1"/>
  <c r="E10" i="185"/>
  <c r="D6" i="189"/>
  <c r="AQ21" i="190"/>
  <c r="AM21" i="190"/>
  <c r="AI21" i="190"/>
  <c r="AE21" i="190"/>
  <c r="AP21" i="190"/>
  <c r="AL21" i="190"/>
  <c r="AH21" i="190"/>
  <c r="AD21" i="190"/>
  <c r="AJ21" i="190"/>
  <c r="AO21" i="190"/>
  <c r="AG21" i="190"/>
  <c r="AN21" i="190"/>
  <c r="AF21" i="190"/>
  <c r="AK21" i="190"/>
  <c r="AC21" i="190"/>
  <c r="AC5" i="183"/>
  <c r="AC9" i="183"/>
  <c r="AC13" i="183"/>
  <c r="AC17" i="183"/>
  <c r="AE7" i="183"/>
  <c r="AE11" i="183"/>
  <c r="AE15" i="183"/>
  <c r="AG8" i="183"/>
  <c r="AG12" i="183"/>
  <c r="AG16" i="183"/>
  <c r="AI5" i="183"/>
  <c r="AI9" i="183"/>
  <c r="AI13" i="183"/>
  <c r="AI17" i="183"/>
  <c r="AK6" i="183"/>
  <c r="AK10" i="183"/>
  <c r="AK14" i="183"/>
  <c r="AM7" i="183"/>
  <c r="AM11" i="183"/>
  <c r="AM15" i="183"/>
  <c r="AC5" i="184"/>
  <c r="AC9" i="184"/>
  <c r="AC13" i="184"/>
  <c r="AC17" i="184"/>
  <c r="AE7" i="184"/>
  <c r="AE11" i="184"/>
  <c r="AE15" i="184"/>
  <c r="AG8" i="184"/>
  <c r="AG12" i="184"/>
  <c r="AI5" i="184"/>
  <c r="AI9" i="184"/>
  <c r="AI13" i="184"/>
  <c r="AI17" i="184"/>
  <c r="AK6" i="184"/>
  <c r="AK10" i="184"/>
  <c r="AK14" i="184"/>
  <c r="AM7" i="184"/>
  <c r="AM11" i="184"/>
  <c r="AM15" i="184"/>
  <c r="F8" i="185"/>
  <c r="G8" i="185" s="1"/>
  <c r="E8" i="185"/>
  <c r="D14" i="185"/>
  <c r="AG15" i="186"/>
  <c r="AG11" i="186"/>
  <c r="AG7" i="186"/>
  <c r="AG14" i="186"/>
  <c r="AG10" i="186"/>
  <c r="AG6" i="186"/>
  <c r="AG17" i="186"/>
  <c r="AG13" i="186"/>
  <c r="AG9" i="186"/>
  <c r="AG5" i="186"/>
  <c r="D7" i="187"/>
  <c r="AK8" i="184"/>
  <c r="AG15" i="185"/>
  <c r="AG11" i="185"/>
  <c r="AG7" i="185"/>
  <c r="AG14" i="185"/>
  <c r="AG10" i="185"/>
  <c r="AG6" i="185"/>
  <c r="AG17" i="185"/>
  <c r="AG13" i="185"/>
  <c r="AG9" i="185"/>
  <c r="AG5" i="185"/>
  <c r="AC6" i="183"/>
  <c r="AC10" i="183"/>
  <c r="AE8" i="183"/>
  <c r="AE12" i="183"/>
  <c r="AG5" i="183"/>
  <c r="AG9" i="183"/>
  <c r="AG13" i="183"/>
  <c r="AI6" i="183"/>
  <c r="AI10" i="183"/>
  <c r="AK7" i="183"/>
  <c r="AK11" i="183"/>
  <c r="AM8" i="183"/>
  <c r="AM12" i="183"/>
  <c r="AC6" i="184"/>
  <c r="AC10" i="184"/>
  <c r="AE8" i="184"/>
  <c r="AE12" i="184"/>
  <c r="AI6" i="184"/>
  <c r="AI10" i="184"/>
  <c r="AK7" i="184"/>
  <c r="AK11" i="184"/>
  <c r="AM8" i="184"/>
  <c r="AM12" i="184"/>
  <c r="AH28" i="184"/>
  <c r="AH29" i="184" s="1"/>
  <c r="AH30" i="184" s="1"/>
  <c r="AH32" i="184" s="1"/>
  <c r="AG16" i="185"/>
  <c r="AH29" i="185"/>
  <c r="AH30" i="185" s="1"/>
  <c r="AH32" i="185" s="1"/>
  <c r="F10" i="186"/>
  <c r="G10" i="186" s="1"/>
  <c r="E10" i="186"/>
  <c r="AG15" i="187"/>
  <c r="AG11" i="187"/>
  <c r="AG7" i="187"/>
  <c r="AG14" i="187"/>
  <c r="AG10" i="187"/>
  <c r="AG6" i="187"/>
  <c r="AG17" i="187"/>
  <c r="AG13" i="187"/>
  <c r="AG9" i="187"/>
  <c r="AG5" i="187"/>
  <c r="F6" i="187"/>
  <c r="E6" i="187"/>
  <c r="AN21" i="188"/>
  <c r="AJ21" i="188"/>
  <c r="AF21" i="188"/>
  <c r="AP21" i="188"/>
  <c r="AL21" i="188"/>
  <c r="AK21" i="188"/>
  <c r="AE21" i="188"/>
  <c r="AQ21" i="188"/>
  <c r="AI21" i="188"/>
  <c r="AD21" i="188"/>
  <c r="AO21" i="188"/>
  <c r="AH21" i="188"/>
  <c r="AC21" i="188"/>
  <c r="AM21" i="188"/>
  <c r="AG21" i="188"/>
  <c r="AK15" i="188"/>
  <c r="AK11" i="188"/>
  <c r="AK7" i="188"/>
  <c r="AK14" i="188"/>
  <c r="AK10" i="188"/>
  <c r="AK6" i="188"/>
  <c r="AK17" i="188"/>
  <c r="AK13" i="188"/>
  <c r="AK9" i="188"/>
  <c r="AK5" i="188"/>
  <c r="AK16" i="188"/>
  <c r="AK12" i="188"/>
  <c r="AK8" i="188"/>
  <c r="F9" i="188"/>
  <c r="G9" i="188" s="1"/>
  <c r="E9" i="188"/>
  <c r="E6" i="188"/>
  <c r="D14" i="188"/>
  <c r="F6" i="188"/>
  <c r="AE8" i="185"/>
  <c r="AE12" i="185"/>
  <c r="AE16" i="185"/>
  <c r="AM8" i="185"/>
  <c r="AM12" i="185"/>
  <c r="AM16" i="185"/>
  <c r="AE8" i="186"/>
  <c r="AE12" i="186"/>
  <c r="AE16" i="186"/>
  <c r="AM8" i="186"/>
  <c r="AM12" i="186"/>
  <c r="AM16" i="186"/>
  <c r="AE8" i="187"/>
  <c r="AE12" i="187"/>
  <c r="AE16" i="187"/>
  <c r="AM8" i="187"/>
  <c r="AM12" i="187"/>
  <c r="AM16" i="187"/>
  <c r="F7" i="188"/>
  <c r="G7" i="188" s="1"/>
  <c r="E7" i="188"/>
  <c r="AH32" i="188"/>
  <c r="AH33" i="188"/>
  <c r="AQ21" i="189"/>
  <c r="AM21" i="189"/>
  <c r="AI21" i="189"/>
  <c r="AE21" i="189"/>
  <c r="AL21" i="189"/>
  <c r="AG21" i="189"/>
  <c r="AO21" i="189"/>
  <c r="AJ21" i="189"/>
  <c r="AD21" i="189"/>
  <c r="AH21" i="189"/>
  <c r="AP21" i="189"/>
  <c r="AF21" i="189"/>
  <c r="AN21" i="189"/>
  <c r="AC21" i="189"/>
  <c r="AC7" i="185"/>
  <c r="AC11" i="185"/>
  <c r="AC15" i="185"/>
  <c r="AE5" i="185"/>
  <c r="AE9" i="185"/>
  <c r="AE13" i="185"/>
  <c r="AE17" i="185"/>
  <c r="AI7" i="185"/>
  <c r="AI11" i="185"/>
  <c r="AI15" i="185"/>
  <c r="AK8" i="185"/>
  <c r="AK12" i="185"/>
  <c r="AK16" i="185"/>
  <c r="AM5" i="185"/>
  <c r="AM9" i="185"/>
  <c r="AM13" i="185"/>
  <c r="AM17" i="185"/>
  <c r="AH28" i="185"/>
  <c r="AC7" i="186"/>
  <c r="AC11" i="186"/>
  <c r="AC15" i="186"/>
  <c r="AE5" i="186"/>
  <c r="AE9" i="186"/>
  <c r="AE13" i="186"/>
  <c r="AE17" i="186"/>
  <c r="AI7" i="186"/>
  <c r="AI11" i="186"/>
  <c r="AI15" i="186"/>
  <c r="AK8" i="186"/>
  <c r="AK12" i="186"/>
  <c r="AK16" i="186"/>
  <c r="AM5" i="186"/>
  <c r="AM9" i="186"/>
  <c r="AM13" i="186"/>
  <c r="AM17" i="186"/>
  <c r="AH28" i="186"/>
  <c r="AH29" i="186" s="1"/>
  <c r="AH30" i="186" s="1"/>
  <c r="AC7" i="187"/>
  <c r="AC11" i="187"/>
  <c r="AC15" i="187"/>
  <c r="AE5" i="187"/>
  <c r="AE9" i="187"/>
  <c r="AE13" i="187"/>
  <c r="AE17" i="187"/>
  <c r="AI7" i="187"/>
  <c r="AI11" i="187"/>
  <c r="AI15" i="187"/>
  <c r="AK8" i="187"/>
  <c r="AK12" i="187"/>
  <c r="AK16" i="187"/>
  <c r="AM5" i="187"/>
  <c r="AM9" i="187"/>
  <c r="AM13" i="187"/>
  <c r="AM17" i="187"/>
  <c r="AK21" i="189"/>
  <c r="AE17" i="190"/>
  <c r="AE13" i="190"/>
  <c r="AE9" i="190"/>
  <c r="AE5" i="190"/>
  <c r="AE14" i="190"/>
  <c r="AE8" i="190"/>
  <c r="AE16" i="190"/>
  <c r="AE11" i="190"/>
  <c r="AE6" i="190"/>
  <c r="AE12" i="190"/>
  <c r="AE10" i="190"/>
  <c r="AE7" i="190"/>
  <c r="F8" i="190"/>
  <c r="G8" i="190" s="1"/>
  <c r="E8" i="190"/>
  <c r="AC8" i="185"/>
  <c r="AC12" i="185"/>
  <c r="AE6" i="185"/>
  <c r="AE10" i="185"/>
  <c r="AI8" i="185"/>
  <c r="AI12" i="185"/>
  <c r="AK5" i="185"/>
  <c r="AK9" i="185"/>
  <c r="AK13" i="185"/>
  <c r="AM6" i="185"/>
  <c r="AM10" i="185"/>
  <c r="AC8" i="186"/>
  <c r="AC12" i="186"/>
  <c r="AE6" i="186"/>
  <c r="AE10" i="186"/>
  <c r="AI8" i="186"/>
  <c r="AI12" i="186"/>
  <c r="AK5" i="186"/>
  <c r="AK9" i="186"/>
  <c r="AK13" i="186"/>
  <c r="AM6" i="186"/>
  <c r="AM10" i="186"/>
  <c r="AC8" i="187"/>
  <c r="AC12" i="187"/>
  <c r="AE6" i="187"/>
  <c r="AE10" i="187"/>
  <c r="AI8" i="187"/>
  <c r="AI12" i="187"/>
  <c r="AK5" i="187"/>
  <c r="AK9" i="187"/>
  <c r="AK13" i="187"/>
  <c r="AM6" i="187"/>
  <c r="AM10" i="187"/>
  <c r="F11" i="188"/>
  <c r="G11" i="188" s="1"/>
  <c r="E11" i="188"/>
  <c r="AG15" i="189"/>
  <c r="AG11" i="189"/>
  <c r="AG7" i="189"/>
  <c r="AG17" i="189"/>
  <c r="AG13" i="189"/>
  <c r="AG9" i="189"/>
  <c r="AG5" i="189"/>
  <c r="AG10" i="189"/>
  <c r="AG16" i="189"/>
  <c r="AG8" i="189"/>
  <c r="AG14" i="189"/>
  <c r="AG6" i="189"/>
  <c r="AE15" i="190"/>
  <c r="AI15" i="190"/>
  <c r="AI11" i="190"/>
  <c r="AI7" i="190"/>
  <c r="AI16" i="190"/>
  <c r="AI10" i="190"/>
  <c r="AI5" i="190"/>
  <c r="AI14" i="190"/>
  <c r="AI13" i="190"/>
  <c r="AI8" i="190"/>
  <c r="AI12" i="190"/>
  <c r="AI9" i="190"/>
  <c r="AI6" i="190"/>
  <c r="AC8" i="188"/>
  <c r="AC12" i="188"/>
  <c r="AC16" i="188"/>
  <c r="AE6" i="188"/>
  <c r="AE10" i="188"/>
  <c r="AE14" i="188"/>
  <c r="AI8" i="188"/>
  <c r="AI12" i="188"/>
  <c r="AI16" i="188"/>
  <c r="AM6" i="188"/>
  <c r="AM10" i="188"/>
  <c r="AM14" i="188"/>
  <c r="F8" i="189"/>
  <c r="G8" i="189" s="1"/>
  <c r="E8" i="189"/>
  <c r="AC5" i="188"/>
  <c r="AC9" i="188"/>
  <c r="AC13" i="188"/>
  <c r="AE7" i="188"/>
  <c r="AE11" i="188"/>
  <c r="AE15" i="188"/>
  <c r="AG8" i="188"/>
  <c r="AG12" i="188"/>
  <c r="AI5" i="188"/>
  <c r="AI9" i="188"/>
  <c r="AI13" i="188"/>
  <c r="AM7" i="188"/>
  <c r="AM11" i="188"/>
  <c r="AM15" i="188"/>
  <c r="D11" i="189"/>
  <c r="F6" i="190"/>
  <c r="E6" i="190"/>
  <c r="AE8" i="188"/>
  <c r="AE12" i="188"/>
  <c r="AM8" i="188"/>
  <c r="AM12" i="188"/>
  <c r="AK17" i="189"/>
  <c r="AK13" i="189"/>
  <c r="AK9" i="189"/>
  <c r="AK5" i="189"/>
  <c r="AK15" i="189"/>
  <c r="AK11" i="189"/>
  <c r="AK7" i="189"/>
  <c r="AK12" i="189"/>
  <c r="F10" i="189"/>
  <c r="G10" i="189" s="1"/>
  <c r="E10" i="189"/>
  <c r="AE8" i="189"/>
  <c r="AE12" i="189"/>
  <c r="AE16" i="189"/>
  <c r="AM8" i="189"/>
  <c r="AM12" i="189"/>
  <c r="AM16" i="189"/>
  <c r="D9" i="189"/>
  <c r="AH28" i="189"/>
  <c r="AH29" i="189" s="1"/>
  <c r="AH30" i="189" s="1"/>
  <c r="AH32" i="189" s="1"/>
  <c r="AC15" i="190"/>
  <c r="AC11" i="190"/>
  <c r="AC7" i="190"/>
  <c r="AC9" i="190"/>
  <c r="AC14" i="190"/>
  <c r="AG7" i="190"/>
  <c r="AG12" i="190"/>
  <c r="AM8" i="190"/>
  <c r="D7" i="190"/>
  <c r="AM17" i="190"/>
  <c r="AM13" i="190"/>
  <c r="AM9" i="190"/>
  <c r="AM5" i="190"/>
  <c r="AM10" i="190"/>
  <c r="AM15" i="190"/>
  <c r="E10" i="190"/>
  <c r="D9" i="190"/>
  <c r="AC8" i="189"/>
  <c r="AC12" i="189"/>
  <c r="AE6" i="189"/>
  <c r="AE10" i="189"/>
  <c r="AI8" i="189"/>
  <c r="AI12" i="189"/>
  <c r="AM6" i="189"/>
  <c r="AM10" i="189"/>
  <c r="AG14" i="190"/>
  <c r="AG10" i="190"/>
  <c r="AG6" i="190"/>
  <c r="AG9" i="190"/>
  <c r="AG15" i="190"/>
  <c r="AM6" i="190"/>
  <c r="AM11" i="190"/>
  <c r="AM16" i="190"/>
  <c r="AK8" i="190"/>
  <c r="AK12" i="190"/>
  <c r="AH28" i="190"/>
  <c r="AH29" i="190" s="1"/>
  <c r="AH30" i="190" s="1"/>
  <c r="AQ21" i="181"/>
  <c r="AM21" i="181"/>
  <c r="AI21" i="181"/>
  <c r="AE21" i="181"/>
  <c r="AP21" i="181"/>
  <c r="AL21" i="181"/>
  <c r="AH21" i="181"/>
  <c r="AD21" i="181"/>
  <c r="AO21" i="181"/>
  <c r="AK21" i="181"/>
  <c r="AG21" i="181"/>
  <c r="AC21" i="181"/>
  <c r="AN21" i="181"/>
  <c r="AJ21" i="181"/>
  <c r="AF21" i="181"/>
  <c r="F7" i="179"/>
  <c r="G7" i="179" s="1"/>
  <c r="E7" i="179"/>
  <c r="E8" i="179"/>
  <c r="F8" i="179"/>
  <c r="G8" i="179" s="1"/>
  <c r="F11" i="179"/>
  <c r="G11" i="179" s="1"/>
  <c r="E11" i="179"/>
  <c r="AQ21" i="180"/>
  <c r="AM21" i="180"/>
  <c r="AI21" i="180"/>
  <c r="AE21" i="180"/>
  <c r="AP21" i="180"/>
  <c r="AL21" i="180"/>
  <c r="AH21" i="180"/>
  <c r="AD21" i="180"/>
  <c r="AO21" i="180"/>
  <c r="AK21" i="180"/>
  <c r="AG21" i="180"/>
  <c r="AC21" i="180"/>
  <c r="AJ21" i="180"/>
  <c r="AF21" i="180"/>
  <c r="AN21" i="180"/>
  <c r="F6" i="180"/>
  <c r="E6" i="180"/>
  <c r="D14" i="179"/>
  <c r="E6" i="179"/>
  <c r="F6" i="179"/>
  <c r="F9" i="179"/>
  <c r="G9" i="179" s="1"/>
  <c r="E9" i="179"/>
  <c r="AO21" i="179"/>
  <c r="AK21" i="179"/>
  <c r="AG21" i="179"/>
  <c r="AC21" i="179"/>
  <c r="AD21" i="179"/>
  <c r="AN21" i="179"/>
  <c r="AJ21" i="179"/>
  <c r="AF21" i="179"/>
  <c r="AL21" i="179"/>
  <c r="AH21" i="179"/>
  <c r="AQ21" i="179"/>
  <c r="AM21" i="179"/>
  <c r="AI21" i="179"/>
  <c r="AE21" i="179"/>
  <c r="AP21" i="179"/>
  <c r="E10" i="179"/>
  <c r="F10" i="179"/>
  <c r="G10" i="179" s="1"/>
  <c r="AE12" i="179"/>
  <c r="AM12" i="179"/>
  <c r="AM16" i="179"/>
  <c r="AE5" i="179"/>
  <c r="AE9" i="179"/>
  <c r="AE13" i="179"/>
  <c r="AE17" i="179"/>
  <c r="AG6" i="179"/>
  <c r="AG10" i="179"/>
  <c r="AG14" i="179"/>
  <c r="AK8" i="179"/>
  <c r="AK12" i="179"/>
  <c r="AK16" i="179"/>
  <c r="AM5" i="179"/>
  <c r="AM9" i="179"/>
  <c r="AM13" i="179"/>
  <c r="AM17" i="179"/>
  <c r="AH28" i="179"/>
  <c r="AH29" i="179" s="1"/>
  <c r="AH30" i="179" s="1"/>
  <c r="AC7" i="180"/>
  <c r="AC11" i="180"/>
  <c r="AC15" i="180"/>
  <c r="F10" i="180"/>
  <c r="G10" i="180" s="1"/>
  <c r="E10" i="180"/>
  <c r="D7" i="180"/>
  <c r="AH33" i="180"/>
  <c r="AH32" i="180"/>
  <c r="AE8" i="179"/>
  <c r="AE16" i="179"/>
  <c r="AM8" i="179"/>
  <c r="AC8" i="179"/>
  <c r="AC12" i="179"/>
  <c r="AE6" i="179"/>
  <c r="AE10" i="179"/>
  <c r="AE14" i="179"/>
  <c r="AG7" i="179"/>
  <c r="AG11" i="179"/>
  <c r="AG15" i="179"/>
  <c r="AI8" i="179"/>
  <c r="AI12" i="179"/>
  <c r="AK5" i="179"/>
  <c r="AK9" i="179"/>
  <c r="AK13" i="179"/>
  <c r="AK17" i="179"/>
  <c r="AM6" i="179"/>
  <c r="AM10" i="179"/>
  <c r="AM14" i="179"/>
  <c r="AC8" i="180"/>
  <c r="AC12" i="180"/>
  <c r="AC16" i="180"/>
  <c r="AI15" i="180"/>
  <c r="AI11" i="180"/>
  <c r="AI7" i="180"/>
  <c r="AI14" i="180"/>
  <c r="AI10" i="180"/>
  <c r="AI6" i="180"/>
  <c r="AI12" i="180"/>
  <c r="F8" i="180"/>
  <c r="G8" i="180" s="1"/>
  <c r="E8" i="180"/>
  <c r="AC15" i="181"/>
  <c r="AC11" i="181"/>
  <c r="AC7" i="181"/>
  <c r="AC14" i="181"/>
  <c r="AC10" i="181"/>
  <c r="AC6" i="181"/>
  <c r="AC17" i="181"/>
  <c r="AC13" i="181"/>
  <c r="AC9" i="181"/>
  <c r="AC5" i="181"/>
  <c r="AI15" i="181"/>
  <c r="AI11" i="181"/>
  <c r="AI7" i="181"/>
  <c r="AI14" i="181"/>
  <c r="AI10" i="181"/>
  <c r="AI6" i="181"/>
  <c r="AI17" i="181"/>
  <c r="AI13" i="181"/>
  <c r="AI9" i="181"/>
  <c r="AI5" i="181"/>
  <c r="F11" i="181"/>
  <c r="G11" i="181" s="1"/>
  <c r="E11" i="181"/>
  <c r="AC15" i="182"/>
  <c r="AC11" i="182"/>
  <c r="AC7" i="182"/>
  <c r="AC14" i="182"/>
  <c r="AC10" i="182"/>
  <c r="AC6" i="182"/>
  <c r="AC17" i="182"/>
  <c r="AC13" i="182"/>
  <c r="AC9" i="182"/>
  <c r="AC5" i="182"/>
  <c r="AC16" i="182"/>
  <c r="AC12" i="182"/>
  <c r="AC8" i="182"/>
  <c r="AQ21" i="182"/>
  <c r="AM21" i="182"/>
  <c r="AI21" i="182"/>
  <c r="AE21" i="182"/>
  <c r="AP21" i="182"/>
  <c r="AL21" i="182"/>
  <c r="AH21" i="182"/>
  <c r="AD21" i="182"/>
  <c r="AO21" i="182"/>
  <c r="AK21" i="182"/>
  <c r="AG21" i="182"/>
  <c r="AC21" i="182"/>
  <c r="AN21" i="182"/>
  <c r="AJ21" i="182"/>
  <c r="AF21" i="182"/>
  <c r="D18" i="181"/>
  <c r="AE7" i="179"/>
  <c r="AE11" i="179"/>
  <c r="AG8" i="179"/>
  <c r="AG12" i="179"/>
  <c r="AK6" i="179"/>
  <c r="AK10" i="179"/>
  <c r="AM7" i="179"/>
  <c r="AM11" i="179"/>
  <c r="AC5" i="180"/>
  <c r="AC9" i="180"/>
  <c r="AC13" i="180"/>
  <c r="AG14" i="180"/>
  <c r="AG10" i="180"/>
  <c r="AG6" i="180"/>
  <c r="AG17" i="180"/>
  <c r="AG13" i="180"/>
  <c r="AG9" i="180"/>
  <c r="AG5" i="180"/>
  <c r="AG12" i="180"/>
  <c r="AI5" i="180"/>
  <c r="AI13" i="180"/>
  <c r="AC8" i="181"/>
  <c r="AI8" i="181"/>
  <c r="D17" i="181"/>
  <c r="E10" i="181"/>
  <c r="F10" i="181"/>
  <c r="G10" i="181" s="1"/>
  <c r="F6" i="182"/>
  <c r="E6" i="182"/>
  <c r="D16" i="182" s="1"/>
  <c r="D14" i="182"/>
  <c r="F10" i="182"/>
  <c r="G10" i="182" s="1"/>
  <c r="E10" i="182"/>
  <c r="AG8" i="181"/>
  <c r="AG12" i="181"/>
  <c r="AG16" i="181"/>
  <c r="D14" i="181"/>
  <c r="AI12" i="182"/>
  <c r="F8" i="182"/>
  <c r="G8" i="182" s="1"/>
  <c r="E8" i="182"/>
  <c r="AE8" i="180"/>
  <c r="AE12" i="180"/>
  <c r="AE16" i="180"/>
  <c r="AK7" i="180"/>
  <c r="AK11" i="180"/>
  <c r="AK15" i="180"/>
  <c r="AM8" i="180"/>
  <c r="AM12" i="180"/>
  <c r="AM16" i="180"/>
  <c r="AE8" i="181"/>
  <c r="AE12" i="181"/>
  <c r="AG5" i="181"/>
  <c r="AG9" i="181"/>
  <c r="AG13" i="181"/>
  <c r="AG17" i="181"/>
  <c r="AK7" i="181"/>
  <c r="AK11" i="181"/>
  <c r="AK15" i="181"/>
  <c r="AM8" i="181"/>
  <c r="AM12" i="181"/>
  <c r="E6" i="181"/>
  <c r="D16" i="181" s="1"/>
  <c r="AK8" i="180"/>
  <c r="AK12" i="180"/>
  <c r="AM5" i="180"/>
  <c r="AM9" i="180"/>
  <c r="AM13" i="180"/>
  <c r="AG6" i="181"/>
  <c r="AG10" i="181"/>
  <c r="AK8" i="181"/>
  <c r="AK12" i="181"/>
  <c r="AH33" i="181"/>
  <c r="AH32" i="181"/>
  <c r="AI15" i="182"/>
  <c r="AI11" i="182"/>
  <c r="AI7" i="182"/>
  <c r="AI14" i="182"/>
  <c r="AI10" i="182"/>
  <c r="AI6" i="182"/>
  <c r="AI17" i="182"/>
  <c r="AI13" i="182"/>
  <c r="AI9" i="182"/>
  <c r="AI5" i="182"/>
  <c r="AG8" i="182"/>
  <c r="AG12" i="182"/>
  <c r="AG16" i="182"/>
  <c r="AK6" i="182"/>
  <c r="AK10" i="182"/>
  <c r="AK14" i="182"/>
  <c r="AE8" i="182"/>
  <c r="AE12" i="182"/>
  <c r="AG5" i="182"/>
  <c r="AG9" i="182"/>
  <c r="AG13" i="182"/>
  <c r="AK7" i="182"/>
  <c r="AK11" i="182"/>
  <c r="AK15" i="182"/>
  <c r="AM8" i="182"/>
  <c r="AM12" i="182"/>
  <c r="AK8" i="182"/>
  <c r="AK12" i="182"/>
  <c r="AH28" i="182"/>
  <c r="AH29" i="182" s="1"/>
  <c r="AH30" i="182" s="1"/>
  <c r="AH32" i="182" s="1"/>
  <c r="D14" i="177"/>
  <c r="F6" i="177"/>
  <c r="E6" i="177"/>
  <c r="AQ21" i="177"/>
  <c r="AM21" i="177"/>
  <c r="AI21" i="177"/>
  <c r="AE21" i="177"/>
  <c r="AP21" i="177"/>
  <c r="AL21" i="177"/>
  <c r="AH21" i="177"/>
  <c r="AD21" i="177"/>
  <c r="AO21" i="177"/>
  <c r="AK21" i="177"/>
  <c r="AG21" i="177"/>
  <c r="AC21" i="177"/>
  <c r="AJ21" i="177"/>
  <c r="AF21" i="177"/>
  <c r="AN21" i="177"/>
  <c r="F7" i="177"/>
  <c r="G7" i="177" s="1"/>
  <c r="E7" i="177"/>
  <c r="AI12" i="177"/>
  <c r="AI15" i="178"/>
  <c r="AI11" i="178"/>
  <c r="AI7" i="178"/>
  <c r="AI14" i="178"/>
  <c r="AI10" i="178"/>
  <c r="AI6" i="178"/>
  <c r="AI17" i="178"/>
  <c r="AI13" i="178"/>
  <c r="AI9" i="178"/>
  <c r="AI5" i="178"/>
  <c r="AQ21" i="178"/>
  <c r="AM21" i="178"/>
  <c r="AI21" i="178"/>
  <c r="AE21" i="178"/>
  <c r="AP21" i="178"/>
  <c r="AL21" i="178"/>
  <c r="AH21" i="178"/>
  <c r="AD21" i="178"/>
  <c r="AO21" i="178"/>
  <c r="AK21" i="178"/>
  <c r="AG21" i="178"/>
  <c r="AC21" i="178"/>
  <c r="F10" i="178"/>
  <c r="G10" i="178" s="1"/>
  <c r="E10" i="178"/>
  <c r="AC5" i="177"/>
  <c r="AC9" i="177"/>
  <c r="AC13" i="177"/>
  <c r="AC17" i="177"/>
  <c r="AG8" i="177"/>
  <c r="AG16" i="177"/>
  <c r="AI13" i="177"/>
  <c r="AI8" i="178"/>
  <c r="F6" i="178"/>
  <c r="E6" i="178"/>
  <c r="D14" i="178"/>
  <c r="F8" i="178"/>
  <c r="G8" i="178" s="1"/>
  <c r="E8" i="178"/>
  <c r="AC6" i="177"/>
  <c r="AC10" i="177"/>
  <c r="AC14" i="177"/>
  <c r="AE8" i="177"/>
  <c r="AE12" i="177"/>
  <c r="AE16" i="177"/>
  <c r="AG5" i="177"/>
  <c r="AG9" i="177"/>
  <c r="AG13" i="177"/>
  <c r="AG17" i="177"/>
  <c r="AI6" i="177"/>
  <c r="AI10" i="177"/>
  <c r="AI14" i="177"/>
  <c r="AK7" i="177"/>
  <c r="AK11" i="177"/>
  <c r="AK15" i="177"/>
  <c r="AM8" i="177"/>
  <c r="AM12" i="177"/>
  <c r="E8" i="177"/>
  <c r="E9" i="177"/>
  <c r="E11" i="177"/>
  <c r="AI12" i="178"/>
  <c r="AJ21" i="178"/>
  <c r="AH33" i="178"/>
  <c r="AC8" i="177"/>
  <c r="AC12" i="177"/>
  <c r="AC16" i="177"/>
  <c r="AI8" i="177"/>
  <c r="AI16" i="177"/>
  <c r="AG12" i="177"/>
  <c r="AI5" i="177"/>
  <c r="AI9" i="177"/>
  <c r="AI17" i="177"/>
  <c r="AF21" i="178"/>
  <c r="AC7" i="177"/>
  <c r="AC11" i="177"/>
  <c r="AE5" i="177"/>
  <c r="AE9" i="177"/>
  <c r="AE13" i="177"/>
  <c r="AG6" i="177"/>
  <c r="AG10" i="177"/>
  <c r="AI7" i="177"/>
  <c r="AI11" i="177"/>
  <c r="AK8" i="177"/>
  <c r="AK12" i="177"/>
  <c r="AC15" i="178"/>
  <c r="AC11" i="178"/>
  <c r="AC7" i="178"/>
  <c r="AC14" i="178"/>
  <c r="AC10" i="178"/>
  <c r="AC6" i="178"/>
  <c r="AC17" i="178"/>
  <c r="AC13" i="178"/>
  <c r="AC9" i="178"/>
  <c r="AC5" i="178"/>
  <c r="AI16" i="178"/>
  <c r="AN21" i="178"/>
  <c r="AE7" i="178"/>
  <c r="AE11" i="178"/>
  <c r="AE15" i="178"/>
  <c r="AG8" i="178"/>
  <c r="AG12" i="178"/>
  <c r="AG16" i="178"/>
  <c r="AK6" i="178"/>
  <c r="AK10" i="178"/>
  <c r="AK14" i="178"/>
  <c r="AM7" i="178"/>
  <c r="AM11" i="178"/>
  <c r="AM15" i="178"/>
  <c r="AE8" i="178"/>
  <c r="AE12" i="178"/>
  <c r="AE16" i="178"/>
  <c r="AG5" i="178"/>
  <c r="AG9" i="178"/>
  <c r="AG13" i="178"/>
  <c r="AG17" i="178"/>
  <c r="AM8" i="178"/>
  <c r="AM12" i="178"/>
  <c r="AM16" i="178"/>
  <c r="AH28" i="177"/>
  <c r="AH29" i="177" s="1"/>
  <c r="AH30" i="177" s="1"/>
  <c r="AH32" i="177" s="1"/>
  <c r="AE5" i="178"/>
  <c r="AE9" i="178"/>
  <c r="AE13" i="178"/>
  <c r="AG6" i="178"/>
  <c r="AG10" i="178"/>
  <c r="AK8" i="178"/>
  <c r="AK12" i="178"/>
  <c r="AM5" i="178"/>
  <c r="AM9" i="178"/>
  <c r="AM13" i="178"/>
  <c r="AH28" i="178"/>
  <c r="AH29" i="178" s="1"/>
  <c r="AH30" i="178" s="1"/>
  <c r="AH32" i="178" s="1"/>
  <c r="AQ21" i="176"/>
  <c r="AM21" i="176"/>
  <c r="AI21" i="176"/>
  <c r="AE21" i="176"/>
  <c r="AK21" i="176"/>
  <c r="AG21" i="176"/>
  <c r="AC21" i="176"/>
  <c r="AP21" i="176"/>
  <c r="AL21" i="176"/>
  <c r="AH21" i="176"/>
  <c r="AD21" i="176"/>
  <c r="AO21" i="176"/>
  <c r="F6" i="176"/>
  <c r="E6" i="176"/>
  <c r="D7" i="176"/>
  <c r="D14" i="176" s="1"/>
  <c r="F10" i="176"/>
  <c r="G10" i="176" s="1"/>
  <c r="E10" i="176"/>
  <c r="AC15" i="176"/>
  <c r="AC11" i="176"/>
  <c r="AC7" i="176"/>
  <c r="AC14" i="176"/>
  <c r="AC10" i="176"/>
  <c r="AC6" i="176"/>
  <c r="AC17" i="176"/>
  <c r="AC13" i="176"/>
  <c r="AC9" i="176"/>
  <c r="AC5" i="176"/>
  <c r="AI15" i="176"/>
  <c r="AI11" i="176"/>
  <c r="AI7" i="176"/>
  <c r="AI14" i="176"/>
  <c r="AI10" i="176"/>
  <c r="AI6" i="176"/>
  <c r="AI17" i="176"/>
  <c r="AI13" i="176"/>
  <c r="AI9" i="176"/>
  <c r="AI5" i="176"/>
  <c r="F8" i="176"/>
  <c r="G8" i="176" s="1"/>
  <c r="E8" i="176"/>
  <c r="AF21" i="176"/>
  <c r="AC8" i="176"/>
  <c r="AI8" i="176"/>
  <c r="AJ21" i="176"/>
  <c r="AG8" i="176"/>
  <c r="AG12" i="176"/>
  <c r="AG16" i="176"/>
  <c r="AE8" i="176"/>
  <c r="AE12" i="176"/>
  <c r="AE16" i="176"/>
  <c r="AG5" i="176"/>
  <c r="AG9" i="176"/>
  <c r="AG13" i="176"/>
  <c r="AG17" i="176"/>
  <c r="AM8" i="176"/>
  <c r="AM12" i="176"/>
  <c r="AM16" i="176"/>
  <c r="AE5" i="176"/>
  <c r="AE9" i="176"/>
  <c r="AE13" i="176"/>
  <c r="AG6" i="176"/>
  <c r="AG10" i="176"/>
  <c r="AK8" i="176"/>
  <c r="AK12" i="176"/>
  <c r="AM5" i="176"/>
  <c r="AM9" i="176"/>
  <c r="AM13" i="176"/>
  <c r="AH28" i="176"/>
  <c r="AH29" i="176" s="1"/>
  <c r="AH30" i="176" s="1"/>
  <c r="AH32" i="176" s="1"/>
  <c r="AH28" i="1"/>
  <c r="AH29" i="1" s="1"/>
  <c r="AH30" i="1" s="1"/>
  <c r="AH32" i="191" l="1"/>
  <c r="AH33" i="191"/>
  <c r="AH33" i="189"/>
  <c r="AH32" i="187"/>
  <c r="AH33" i="187"/>
  <c r="D16" i="186"/>
  <c r="AI23" i="182"/>
  <c r="AC20" i="182" s="1"/>
  <c r="J11" i="16"/>
  <c r="AI23" i="181"/>
  <c r="AC20" i="181" s="1"/>
  <c r="AE20" i="181" s="1"/>
  <c r="J10" i="16"/>
  <c r="D16" i="178"/>
  <c r="AH33" i="193"/>
  <c r="E7" i="192"/>
  <c r="D16" i="192" s="1"/>
  <c r="F7" i="192"/>
  <c r="D16" i="194"/>
  <c r="E7" i="191"/>
  <c r="D16" i="191" s="1"/>
  <c r="F7" i="191"/>
  <c r="G7" i="191" s="1"/>
  <c r="G6" i="191"/>
  <c r="D18" i="191" s="1"/>
  <c r="AH33" i="194"/>
  <c r="D17" i="194"/>
  <c r="G6" i="194"/>
  <c r="D18" i="194" s="1"/>
  <c r="G6" i="193"/>
  <c r="D18" i="193" s="1"/>
  <c r="D17" i="193"/>
  <c r="D14" i="191"/>
  <c r="AH33" i="192"/>
  <c r="D16" i="193"/>
  <c r="AH32" i="190"/>
  <c r="AH33" i="190"/>
  <c r="AH32" i="186"/>
  <c r="AH33" i="186"/>
  <c r="G6" i="190"/>
  <c r="F7" i="190"/>
  <c r="G7" i="190" s="1"/>
  <c r="E7" i="190"/>
  <c r="F11" i="189"/>
  <c r="G11" i="189" s="1"/>
  <c r="E11" i="189"/>
  <c r="D17" i="188"/>
  <c r="G6" i="188"/>
  <c r="D18" i="188" s="1"/>
  <c r="D17" i="186"/>
  <c r="G6" i="186"/>
  <c r="D18" i="186" s="1"/>
  <c r="D16" i="183"/>
  <c r="D17" i="184"/>
  <c r="G6" i="184"/>
  <c r="D18" i="184" s="1"/>
  <c r="E6" i="189"/>
  <c r="D14" i="189"/>
  <c r="F6" i="189"/>
  <c r="D17" i="185"/>
  <c r="G6" i="185"/>
  <c r="D18" i="185" s="1"/>
  <c r="AH33" i="185"/>
  <c r="F9" i="190"/>
  <c r="G9" i="190" s="1"/>
  <c r="E9" i="190"/>
  <c r="F9" i="189"/>
  <c r="G9" i="189" s="1"/>
  <c r="E9" i="189"/>
  <c r="D14" i="190"/>
  <c r="D16" i="188"/>
  <c r="G6" i="187"/>
  <c r="AH33" i="184"/>
  <c r="E7" i="187"/>
  <c r="D16" i="187" s="1"/>
  <c r="F7" i="187"/>
  <c r="G7" i="187" s="1"/>
  <c r="D14" i="187"/>
  <c r="D16" i="185"/>
  <c r="D17" i="183"/>
  <c r="G6" i="183"/>
  <c r="D18" i="183" s="1"/>
  <c r="D16" i="184"/>
  <c r="AH32" i="179"/>
  <c r="AH33" i="179"/>
  <c r="D17" i="182"/>
  <c r="G6" i="182"/>
  <c r="D18" i="182" s="1"/>
  <c r="E7" i="180"/>
  <c r="F7" i="180"/>
  <c r="G7" i="180" s="1"/>
  <c r="D14" i="180"/>
  <c r="AH33" i="182"/>
  <c r="AQ20" i="181"/>
  <c r="AM20" i="181"/>
  <c r="AI20" i="181"/>
  <c r="AP20" i="181"/>
  <c r="AL20" i="181"/>
  <c r="AH20" i="181"/>
  <c r="AO20" i="181"/>
  <c r="AG20" i="181"/>
  <c r="AN20" i="181"/>
  <c r="AK20" i="181"/>
  <c r="AJ20" i="181"/>
  <c r="D17" i="179"/>
  <c r="G6" i="179"/>
  <c r="D18" i="179" s="1"/>
  <c r="D16" i="180"/>
  <c r="AN20" i="182"/>
  <c r="AJ20" i="182"/>
  <c r="AF20" i="182"/>
  <c r="AQ20" i="182"/>
  <c r="AM20" i="182"/>
  <c r="AI20" i="182"/>
  <c r="AE20" i="182"/>
  <c r="AP20" i="182"/>
  <c r="AL20" i="182"/>
  <c r="AH20" i="182"/>
  <c r="AD20" i="182"/>
  <c r="AK20" i="182"/>
  <c r="AG20" i="182"/>
  <c r="AO20" i="182"/>
  <c r="D16" i="179"/>
  <c r="D17" i="180"/>
  <c r="G6" i="180"/>
  <c r="D18" i="180" s="1"/>
  <c r="D17" i="178"/>
  <c r="G6" i="178"/>
  <c r="D18" i="178" s="1"/>
  <c r="D16" i="177"/>
  <c r="D17" i="177"/>
  <c r="G6" i="177"/>
  <c r="D18" i="177" s="1"/>
  <c r="AH33" i="177"/>
  <c r="F7" i="176"/>
  <c r="G7" i="176" s="1"/>
  <c r="E7" i="176"/>
  <c r="D16" i="176" s="1"/>
  <c r="AH33" i="176"/>
  <c r="G6" i="176"/>
  <c r="D18" i="176" s="1"/>
  <c r="D17" i="176"/>
  <c r="AH32" i="1"/>
  <c r="AH33" i="1"/>
  <c r="AI23" i="194" l="1"/>
  <c r="AC20" i="194" s="1"/>
  <c r="J23" i="16"/>
  <c r="AI23" i="193"/>
  <c r="AC20" i="193" s="1"/>
  <c r="AN20" i="193" s="1"/>
  <c r="J22" i="16"/>
  <c r="AI23" i="192"/>
  <c r="AC20" i="192" s="1"/>
  <c r="J21" i="16"/>
  <c r="AI23" i="191"/>
  <c r="AC20" i="191" s="1"/>
  <c r="J20" i="16"/>
  <c r="D16" i="190"/>
  <c r="AI23" i="188"/>
  <c r="AC20" i="188" s="1"/>
  <c r="J17" i="16"/>
  <c r="AI23" i="187"/>
  <c r="AC20" i="187" s="1"/>
  <c r="J16" i="16"/>
  <c r="AI23" i="186"/>
  <c r="AC20" i="186" s="1"/>
  <c r="J15" i="16"/>
  <c r="AI23" i="185"/>
  <c r="AC20" i="185" s="1"/>
  <c r="J14" i="16"/>
  <c r="AI23" i="184"/>
  <c r="AC20" i="184" s="1"/>
  <c r="J13" i="16"/>
  <c r="AI23" i="183"/>
  <c r="AC20" i="183" s="1"/>
  <c r="J12" i="16"/>
  <c r="AF20" i="181"/>
  <c r="AD20" i="181"/>
  <c r="AI23" i="180"/>
  <c r="AC20" i="180" s="1"/>
  <c r="J9" i="16"/>
  <c r="AI23" i="179"/>
  <c r="AC20" i="179" s="1"/>
  <c r="J8" i="16"/>
  <c r="AI23" i="178"/>
  <c r="AC20" i="178" s="1"/>
  <c r="J7" i="16"/>
  <c r="AI23" i="177"/>
  <c r="AC20" i="177" s="1"/>
  <c r="J6" i="16"/>
  <c r="AI23" i="176"/>
  <c r="AC20" i="176" s="1"/>
  <c r="AP20" i="176" s="1"/>
  <c r="J5" i="16"/>
  <c r="AO20" i="192"/>
  <c r="AK20" i="192"/>
  <c r="AG20" i="192"/>
  <c r="AN20" i="192"/>
  <c r="AJ20" i="192"/>
  <c r="AF20" i="192"/>
  <c r="AM20" i="192"/>
  <c r="AE20" i="192"/>
  <c r="AL20" i="192"/>
  <c r="AD20" i="192"/>
  <c r="AP20" i="192"/>
  <c r="AQ20" i="192"/>
  <c r="AI20" i="192"/>
  <c r="AH20" i="192"/>
  <c r="AJ20" i="193"/>
  <c r="AF20" i="193"/>
  <c r="AQ20" i="193"/>
  <c r="AM20" i="193"/>
  <c r="AI20" i="193"/>
  <c r="AE20" i="193"/>
  <c r="AP20" i="193"/>
  <c r="AL20" i="193"/>
  <c r="AH20" i="193"/>
  <c r="AD20" i="193"/>
  <c r="AO20" i="193"/>
  <c r="AK20" i="193"/>
  <c r="AG20" i="193"/>
  <c r="D17" i="191"/>
  <c r="AN20" i="194"/>
  <c r="AJ20" i="194"/>
  <c r="AF20" i="194"/>
  <c r="AQ20" i="194"/>
  <c r="AM20" i="194"/>
  <c r="AI20" i="194"/>
  <c r="AE20" i="194"/>
  <c r="AP20" i="194"/>
  <c r="AL20" i="194"/>
  <c r="AH20" i="194"/>
  <c r="AD20" i="194"/>
  <c r="AK20" i="194"/>
  <c r="AG20" i="194"/>
  <c r="AO20" i="194"/>
  <c r="AO20" i="191"/>
  <c r="AK20" i="191"/>
  <c r="AG20" i="191"/>
  <c r="AQ20" i="191"/>
  <c r="AL20" i="191"/>
  <c r="AF20" i="191"/>
  <c r="AP20" i="191"/>
  <c r="AJ20" i="191"/>
  <c r="AE20" i="191"/>
  <c r="AN20" i="191"/>
  <c r="AI20" i="191"/>
  <c r="AD20" i="191"/>
  <c r="AH20" i="191"/>
  <c r="AM20" i="191"/>
  <c r="G7" i="192"/>
  <c r="D18" i="192" s="1"/>
  <c r="D17" i="192"/>
  <c r="AP20" i="187"/>
  <c r="AO20" i="187"/>
  <c r="AK20" i="187"/>
  <c r="AG20" i="187"/>
  <c r="AN20" i="187"/>
  <c r="AJ20" i="187"/>
  <c r="AF20" i="187"/>
  <c r="AM20" i="187"/>
  <c r="AI20" i="187"/>
  <c r="AE20" i="187"/>
  <c r="AH20" i="187"/>
  <c r="AL20" i="187"/>
  <c r="AD20" i="187"/>
  <c r="AQ20" i="187"/>
  <c r="AO20" i="188"/>
  <c r="AK20" i="188"/>
  <c r="AG20" i="188"/>
  <c r="AQ20" i="188"/>
  <c r="AL20" i="188"/>
  <c r="AF20" i="188"/>
  <c r="AP20" i="188"/>
  <c r="AJ20" i="188"/>
  <c r="AE20" i="188"/>
  <c r="AN20" i="188"/>
  <c r="AI20" i="188"/>
  <c r="AD20" i="188"/>
  <c r="AM20" i="188"/>
  <c r="AH20" i="188"/>
  <c r="AO20" i="185"/>
  <c r="AK20" i="185"/>
  <c r="AG20" i="185"/>
  <c r="AN20" i="185"/>
  <c r="AJ20" i="185"/>
  <c r="AF20" i="185"/>
  <c r="AQ20" i="185"/>
  <c r="AM20" i="185"/>
  <c r="AI20" i="185"/>
  <c r="AE20" i="185"/>
  <c r="AD20" i="185"/>
  <c r="AP20" i="185"/>
  <c r="AL20" i="185"/>
  <c r="AH20" i="185"/>
  <c r="AQ20" i="183"/>
  <c r="AM20" i="183"/>
  <c r="AI20" i="183"/>
  <c r="AE20" i="183"/>
  <c r="AJ20" i="183"/>
  <c r="AP20" i="183"/>
  <c r="AL20" i="183"/>
  <c r="AH20" i="183"/>
  <c r="AD20" i="183"/>
  <c r="AF20" i="183"/>
  <c r="AO20" i="183"/>
  <c r="AK20" i="183"/>
  <c r="AG20" i="183"/>
  <c r="AN20" i="183"/>
  <c r="D16" i="189"/>
  <c r="D18" i="187"/>
  <c r="D17" i="189"/>
  <c r="G6" i="189"/>
  <c r="D18" i="189" s="1"/>
  <c r="D17" i="190"/>
  <c r="AQ20" i="184"/>
  <c r="AM20" i="184"/>
  <c r="AI20" i="184"/>
  <c r="AE20" i="184"/>
  <c r="AP20" i="184"/>
  <c r="AL20" i="184"/>
  <c r="AH20" i="184"/>
  <c r="AD20" i="184"/>
  <c r="AJ20" i="184"/>
  <c r="AO20" i="184"/>
  <c r="AK20" i="184"/>
  <c r="AG20" i="184"/>
  <c r="AN20" i="184"/>
  <c r="AF20" i="184"/>
  <c r="D17" i="187"/>
  <c r="D18" i="190"/>
  <c r="AP20" i="179"/>
  <c r="AL20" i="179"/>
  <c r="AH20" i="179"/>
  <c r="AD20" i="179"/>
  <c r="AQ20" i="179"/>
  <c r="AI20" i="179"/>
  <c r="AO20" i="179"/>
  <c r="AK20" i="179"/>
  <c r="AG20" i="179"/>
  <c r="AM20" i="179"/>
  <c r="AE20" i="179"/>
  <c r="AN20" i="179"/>
  <c r="AJ20" i="179"/>
  <c r="AF20" i="179"/>
  <c r="AN20" i="180"/>
  <c r="AJ20" i="180"/>
  <c r="AF20" i="180"/>
  <c r="AQ20" i="180"/>
  <c r="AM20" i="180"/>
  <c r="AI20" i="180"/>
  <c r="AE20" i="180"/>
  <c r="AP20" i="180"/>
  <c r="AL20" i="180"/>
  <c r="AH20" i="180"/>
  <c r="AD20" i="180"/>
  <c r="AG20" i="180"/>
  <c r="AK20" i="180"/>
  <c r="AO20" i="180"/>
  <c r="AN20" i="177"/>
  <c r="AJ20" i="177"/>
  <c r="AF20" i="177"/>
  <c r="AQ20" i="177"/>
  <c r="AM20" i="177"/>
  <c r="AI20" i="177"/>
  <c r="AE20" i="177"/>
  <c r="AP20" i="177"/>
  <c r="AL20" i="177"/>
  <c r="AH20" i="177"/>
  <c r="AD20" i="177"/>
  <c r="AO20" i="177"/>
  <c r="AK20" i="177"/>
  <c r="AG20" i="177"/>
  <c r="AN20" i="176"/>
  <c r="AJ20" i="176"/>
  <c r="AF20" i="176"/>
  <c r="AH20" i="176"/>
  <c r="AQ20" i="176"/>
  <c r="AM20" i="176"/>
  <c r="AE20" i="176"/>
  <c r="AL20" i="176"/>
  <c r="AD20" i="176"/>
  <c r="AO20" i="176"/>
  <c r="AK20" i="176"/>
  <c r="AD16" i="1"/>
  <c r="AF16" i="1" s="1"/>
  <c r="AH16" i="1" s="1"/>
  <c r="AJ16" i="1" s="1"/>
  <c r="AL16" i="1" s="1"/>
  <c r="AN16" i="1" s="1"/>
  <c r="AD15" i="1"/>
  <c r="AF15" i="1" s="1"/>
  <c r="AH15" i="1" s="1"/>
  <c r="AJ15" i="1" s="1"/>
  <c r="AL15" i="1" s="1"/>
  <c r="AN15" i="1" s="1"/>
  <c r="AD14" i="1"/>
  <c r="AF14" i="1" s="1"/>
  <c r="AH14" i="1" s="1"/>
  <c r="AJ14" i="1" s="1"/>
  <c r="AL14" i="1" s="1"/>
  <c r="AN14" i="1" s="1"/>
  <c r="AD13" i="1"/>
  <c r="AF13" i="1" s="1"/>
  <c r="AH13" i="1" s="1"/>
  <c r="AJ13" i="1" s="1"/>
  <c r="AL13" i="1" s="1"/>
  <c r="AN13" i="1" s="1"/>
  <c r="AD12" i="1"/>
  <c r="AF12" i="1" s="1"/>
  <c r="AH12" i="1" s="1"/>
  <c r="AJ12" i="1" s="1"/>
  <c r="AL12" i="1" s="1"/>
  <c r="AN12" i="1" s="1"/>
  <c r="AD11" i="1"/>
  <c r="AF11" i="1" s="1"/>
  <c r="AH11" i="1" s="1"/>
  <c r="AJ11" i="1" s="1"/>
  <c r="AL11" i="1" s="1"/>
  <c r="AN11" i="1" s="1"/>
  <c r="AD10" i="1"/>
  <c r="AF10" i="1" s="1"/>
  <c r="AH10" i="1" s="1"/>
  <c r="AJ10" i="1" s="1"/>
  <c r="AL10" i="1" s="1"/>
  <c r="AN10" i="1" s="1"/>
  <c r="AM5" i="1" a="1"/>
  <c r="AK5" i="1" a="1"/>
  <c r="AK5" i="1" s="1"/>
  <c r="AI5" i="1" a="1"/>
  <c r="AG5" i="1" a="1"/>
  <c r="AG5" i="1" s="1"/>
  <c r="AE5" i="1" a="1"/>
  <c r="AE5" i="1" s="1"/>
  <c r="AC5" i="1" a="1"/>
  <c r="AC11" i="1" s="1"/>
  <c r="AI23" i="190" l="1"/>
  <c r="AC20" i="190" s="1"/>
  <c r="J19" i="16"/>
  <c r="AI23" i="189"/>
  <c r="AC20" i="189" s="1"/>
  <c r="AF20" i="189" s="1"/>
  <c r="J18" i="16"/>
  <c r="AK20" i="186"/>
  <c r="AF20" i="186"/>
  <c r="AE20" i="186"/>
  <c r="AD20" i="186"/>
  <c r="AN20" i="186"/>
  <c r="AM20" i="186"/>
  <c r="AL20" i="186"/>
  <c r="AO20" i="186"/>
  <c r="AJ20" i="186"/>
  <c r="AI20" i="186"/>
  <c r="AH20" i="186"/>
  <c r="AG20" i="186"/>
  <c r="AQ20" i="186"/>
  <c r="AP20" i="186"/>
  <c r="AJ20" i="178"/>
  <c r="AI20" i="178"/>
  <c r="AH20" i="178"/>
  <c r="AO20" i="178"/>
  <c r="AE20" i="178"/>
  <c r="AN20" i="178"/>
  <c r="AL20" i="178"/>
  <c r="AF20" i="178"/>
  <c r="AD20" i="178"/>
  <c r="AQ20" i="178"/>
  <c r="AP20" i="178"/>
  <c r="AK20" i="178"/>
  <c r="AM20" i="178"/>
  <c r="AG20" i="178"/>
  <c r="AG20" i="176"/>
  <c r="AI20" i="176"/>
  <c r="AN20" i="189"/>
  <c r="AJ20" i="189"/>
  <c r="AM20" i="189"/>
  <c r="AH20" i="189"/>
  <c r="AP20" i="189"/>
  <c r="AE20" i="189"/>
  <c r="AO20" i="189"/>
  <c r="AD20" i="189"/>
  <c r="AI20" i="189"/>
  <c r="AQ20" i="189"/>
  <c r="AG20" i="189"/>
  <c r="AE16" i="1"/>
  <c r="AE13" i="1"/>
  <c r="AE7" i="1"/>
  <c r="AM15" i="1"/>
  <c r="AM6" i="1"/>
  <c r="AM10" i="1"/>
  <c r="AM16" i="1"/>
  <c r="AM7" i="1"/>
  <c r="AM13" i="1"/>
  <c r="AM9" i="1"/>
  <c r="AM17" i="1"/>
  <c r="AI16" i="1"/>
  <c r="AI12" i="1"/>
  <c r="AM12" i="1"/>
  <c r="AM14" i="1"/>
  <c r="AM11" i="1"/>
  <c r="AM8" i="1"/>
  <c r="AM5" i="1"/>
  <c r="AK10" i="1"/>
  <c r="AK7" i="1"/>
  <c r="AE10" i="1"/>
  <c r="AC13" i="1"/>
  <c r="AC9" i="1"/>
  <c r="AC6" i="1"/>
  <c r="AC15" i="1"/>
  <c r="AC10" i="1"/>
  <c r="AC7" i="1"/>
  <c r="AC16" i="1"/>
  <c r="AC12" i="1"/>
  <c r="AC8" i="1"/>
  <c r="AC5" i="1"/>
  <c r="AK15" i="1"/>
  <c r="AK12" i="1"/>
  <c r="AK9" i="1"/>
  <c r="AK6" i="1"/>
  <c r="AK16" i="1"/>
  <c r="AK13" i="1"/>
  <c r="AK17" i="1"/>
  <c r="AK14" i="1"/>
  <c r="AK11" i="1"/>
  <c r="AK8" i="1"/>
  <c r="AI5" i="1"/>
  <c r="AI8" i="1"/>
  <c r="AI11" i="1"/>
  <c r="AI14" i="1"/>
  <c r="AI17" i="1"/>
  <c r="AI6" i="1"/>
  <c r="AI9" i="1"/>
  <c r="AI15" i="1"/>
  <c r="AI10" i="1"/>
  <c r="AI13" i="1"/>
  <c r="AI7" i="1"/>
  <c r="AG15" i="1"/>
  <c r="AG12" i="1"/>
  <c r="AG6" i="1"/>
  <c r="AG16" i="1"/>
  <c r="AG13" i="1"/>
  <c r="AG10" i="1"/>
  <c r="AG7" i="1"/>
  <c r="AG9" i="1"/>
  <c r="AG17" i="1"/>
  <c r="AG14" i="1"/>
  <c r="AG11" i="1"/>
  <c r="AG8" i="1"/>
  <c r="AE15" i="1"/>
  <c r="AE12" i="1"/>
  <c r="AE9" i="1"/>
  <c r="AE6" i="1"/>
  <c r="AE17" i="1"/>
  <c r="AE14" i="1"/>
  <c r="AE11" i="1"/>
  <c r="AE8" i="1"/>
  <c r="AC17" i="1"/>
  <c r="AC14" i="1"/>
  <c r="C4" i="16"/>
  <c r="B4" i="16"/>
  <c r="AF20" i="190" l="1"/>
  <c r="AE20" i="190"/>
  <c r="AG20" i="190"/>
  <c r="AN20" i="190"/>
  <c r="AH20" i="190"/>
  <c r="AI20" i="190"/>
  <c r="AO20" i="190"/>
  <c r="AQ20" i="190"/>
  <c r="AP20" i="190"/>
  <c r="AL20" i="190"/>
  <c r="AM20" i="190"/>
  <c r="AD20" i="190"/>
  <c r="AJ20" i="190"/>
  <c r="AK20" i="190"/>
  <c r="AL20" i="189"/>
  <c r="AK20" i="189"/>
  <c r="I4" i="16"/>
  <c r="G4" i="16"/>
  <c r="F4" i="16"/>
  <c r="D4" i="16"/>
  <c r="E4" i="16"/>
  <c r="H4" i="16"/>
  <c r="J21" i="1"/>
  <c r="J20" i="1"/>
  <c r="J19" i="1"/>
  <c r="J18" i="1"/>
  <c r="J17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AF5" i="1"/>
  <c r="AH5" i="1" s="1"/>
  <c r="AJ5" i="1" s="1"/>
  <c r="AL5" i="1" s="1"/>
  <c r="AN5" i="1" s="1"/>
  <c r="AD6" i="1"/>
  <c r="AF6" i="1" s="1"/>
  <c r="AH6" i="1" s="1"/>
  <c r="AJ6" i="1" s="1"/>
  <c r="AL6" i="1" s="1"/>
  <c r="AN6" i="1" s="1"/>
  <c r="AD7" i="1"/>
  <c r="AF7" i="1" s="1"/>
  <c r="AH7" i="1" s="1"/>
  <c r="AJ7" i="1" s="1"/>
  <c r="AL7" i="1" s="1"/>
  <c r="AN7" i="1" s="1"/>
  <c r="AD8" i="1"/>
  <c r="AF8" i="1" s="1"/>
  <c r="AH8" i="1" s="1"/>
  <c r="AJ8" i="1" s="1"/>
  <c r="AL8" i="1" s="1"/>
  <c r="AN8" i="1" s="1"/>
  <c r="AD9" i="1"/>
  <c r="AF9" i="1" s="1"/>
  <c r="AH9" i="1" s="1"/>
  <c r="AJ9" i="1" s="1"/>
  <c r="AL9" i="1" s="1"/>
  <c r="AN9" i="1" s="1"/>
  <c r="AD17" i="1"/>
  <c r="AF17" i="1" s="1"/>
  <c r="AH17" i="1" s="1"/>
  <c r="AJ17" i="1" s="1"/>
  <c r="AL17" i="1" s="1"/>
  <c r="AN17" i="1" s="1"/>
  <c r="AQ21" i="1" l="1"/>
  <c r="AM21" i="1"/>
  <c r="AD21" i="1"/>
  <c r="AP21" i="1"/>
  <c r="AL21" i="1"/>
  <c r="AH21" i="1"/>
  <c r="AO21" i="1"/>
  <c r="AK21" i="1"/>
  <c r="AG21" i="1"/>
  <c r="AC21" i="1"/>
  <c r="AN21" i="1"/>
  <c r="AJ21" i="1"/>
  <c r="AF21" i="1"/>
  <c r="AI21" i="1"/>
  <c r="AE21" i="1"/>
  <c r="D6" i="1"/>
  <c r="E6" i="1" s="1"/>
  <c r="I24" i="16"/>
  <c r="D10" i="1"/>
  <c r="D9" i="1"/>
  <c r="D8" i="1"/>
  <c r="D7" i="1"/>
  <c r="D11" i="1"/>
  <c r="F6" i="1" l="1"/>
  <c r="G6" i="1" s="1"/>
  <c r="D14" i="1"/>
  <c r="L4" i="16" s="1"/>
  <c r="E8" i="1"/>
  <c r="F8" i="1"/>
  <c r="G8" i="1" s="1"/>
  <c r="E9" i="1"/>
  <c r="F9" i="1"/>
  <c r="G9" i="1" s="1"/>
  <c r="F11" i="1"/>
  <c r="G11" i="1" s="1"/>
  <c r="E11" i="1"/>
  <c r="F10" i="1"/>
  <c r="G10" i="1" s="1"/>
  <c r="E10" i="1"/>
  <c r="F7" i="1"/>
  <c r="G7" i="1" s="1"/>
  <c r="E7" i="1"/>
  <c r="D16" i="1" l="1"/>
  <c r="F16" i="1" s="1"/>
  <c r="L24" i="16"/>
  <c r="D18" i="1"/>
  <c r="N4" i="16" s="1"/>
  <c r="D17" i="1"/>
  <c r="M4" i="16" s="1"/>
  <c r="AI23" i="1" l="1"/>
  <c r="AC20" i="1" s="1"/>
  <c r="AO20" i="1" s="1"/>
  <c r="J4" i="16"/>
  <c r="K4" i="16" s="1"/>
  <c r="M24" i="16"/>
  <c r="N24" i="16"/>
  <c r="AP20" i="1" l="1"/>
  <c r="AM20" i="1"/>
  <c r="AJ20" i="1"/>
  <c r="AI20" i="1"/>
  <c r="AG20" i="1"/>
  <c r="AL20" i="1"/>
  <c r="AF20" i="1"/>
  <c r="AE20" i="1"/>
  <c r="AK20" i="1"/>
  <c r="AD20" i="1"/>
  <c r="AN20" i="1"/>
  <c r="AQ20" i="1"/>
  <c r="AH20" i="1"/>
  <c r="K24" i="16"/>
  <c r="J24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Lotes App" description="Conexión a la consulta 'Lotes App' en el libro." type="5" refreshedVersion="8" background="1" saveData="1">
    <dbPr connection="Provider=Microsoft.Mashup.OleDb.1;Data Source=$Workbook$;Location=&quot;Lotes App&quot;;Extended Properties=&quot;&quot;" command="SELECT * FROM [Lotes App]"/>
  </connection>
</connections>
</file>

<file path=xl/sharedStrings.xml><?xml version="1.0" encoding="utf-8"?>
<sst xmlns="http://schemas.openxmlformats.org/spreadsheetml/2006/main" count="3296" uniqueCount="516">
  <si>
    <t>Establecimiento:</t>
  </si>
  <si>
    <t>Dist.med.</t>
  </si>
  <si>
    <t>Plantas</t>
  </si>
  <si>
    <t>Desvío</t>
  </si>
  <si>
    <t>C.V.</t>
  </si>
  <si>
    <t>Distancias acumuladas entre plantas</t>
  </si>
  <si>
    <t>cm</t>
  </si>
  <si>
    <t>por ha</t>
  </si>
  <si>
    <t>plant.cm</t>
  </si>
  <si>
    <t>Potrero:</t>
  </si>
  <si>
    <t>Sector 1</t>
  </si>
  <si>
    <t>Surco 1</t>
  </si>
  <si>
    <t>Surco 2</t>
  </si>
  <si>
    <t>Sector 2</t>
  </si>
  <si>
    <t>Nombre Contratista:</t>
  </si>
  <si>
    <t>Sembradora:</t>
  </si>
  <si>
    <t>Sector 3</t>
  </si>
  <si>
    <t>ptas./ha</t>
  </si>
  <si>
    <t>COEFICIENTE DE VARIACIÓN</t>
  </si>
  <si>
    <t>Observaciones:</t>
  </si>
  <si>
    <t>Lote</t>
  </si>
  <si>
    <t>Antecesor</t>
  </si>
  <si>
    <t>DS</t>
  </si>
  <si>
    <t>CV</t>
  </si>
  <si>
    <t>Antecesor:</t>
  </si>
  <si>
    <t>% Logro</t>
  </si>
  <si>
    <t>S 1</t>
  </si>
  <si>
    <t>S 2</t>
  </si>
  <si>
    <t>Fecha:</t>
  </si>
  <si>
    <t>Estado Fenológico: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</si>
  <si>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</si>
  <si>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</si>
  <si>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</si>
  <si>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</si>
  <si>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</si>
  <si>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</si>
  <si>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</si>
  <si>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</si>
  <si>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</si>
  <si>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</si>
  <si>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</si>
  <si>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</si>
  <si>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</si>
  <si>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</si>
  <si>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</si>
  <si>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Distancia entre plantas</t>
  </si>
  <si>
    <t>Distribución espacial</t>
  </si>
  <si>
    <t>sem/ha</t>
  </si>
  <si>
    <t>Densidad de Siembra:</t>
  </si>
  <si>
    <t>Distancia e/surcos (cm)</t>
  </si>
  <si>
    <t>Logro promedio de plantas</t>
  </si>
  <si>
    <t>Desvío uniformidad planteo</t>
  </si>
  <si>
    <t>Trenque Lauquen</t>
  </si>
  <si>
    <t>Contratista</t>
  </si>
  <si>
    <t>Sembradora</t>
  </si>
  <si>
    <t>DES</t>
  </si>
  <si>
    <t>Des. DP</t>
  </si>
  <si>
    <t>EF</t>
  </si>
  <si>
    <t>Distanciamiento entre plantas- DATOS DE ORIGEN GRAFICO</t>
  </si>
  <si>
    <t>DISTANCIAMIENTO ENTRE PLANTAS IDEAL-DATOS ORIGEN GRAFICO</t>
  </si>
  <si>
    <t>PL/HA-DATO ORIGEN GRAFICO=</t>
  </si>
  <si>
    <t>Estado Fenológico</t>
  </si>
  <si>
    <t>Densidad de Siembra</t>
  </si>
  <si>
    <t>Desvío Distancia Promedio</t>
  </si>
  <si>
    <t>Coeficiente de Variación</t>
  </si>
  <si>
    <t>Distancia Promedio</t>
  </si>
  <si>
    <t>Distancia entre surcos</t>
  </si>
  <si>
    <t>DP</t>
  </si>
  <si>
    <t>EVALUACIÓN DE UNIFORMIDAD ESPACIAL Y DENSIDAD DE PLANTAS LOGRADAS</t>
  </si>
  <si>
    <t>Prom.</t>
  </si>
  <si>
    <t>RECUENTOS POR LOTE - MAIZ</t>
  </si>
  <si>
    <t>DES
(cm)</t>
  </si>
  <si>
    <t>Pl logradas
pl/ha</t>
  </si>
  <si>
    <t>DP
(cm)</t>
  </si>
  <si>
    <t>Des. DP
(cm)</t>
  </si>
  <si>
    <t>CV
(%)</t>
  </si>
  <si>
    <t>TE: 02392-412732</t>
  </si>
  <si>
    <t>Gdor. Irigoyen 283</t>
  </si>
  <si>
    <t>Sitio</t>
  </si>
  <si>
    <t>Sitio:</t>
  </si>
  <si>
    <t>EMPRESA</t>
  </si>
  <si>
    <t>Campo</t>
  </si>
  <si>
    <t>AL</t>
  </si>
  <si>
    <t>Auca_Loo</t>
  </si>
  <si>
    <t>C4</t>
  </si>
  <si>
    <t>Los_Chañares</t>
  </si>
  <si>
    <t>San_José_RGB</t>
  </si>
  <si>
    <t>Santa_Margarita</t>
  </si>
  <si>
    <t>ECSRL</t>
  </si>
  <si>
    <t>San_Pedro</t>
  </si>
  <si>
    <t>ENT</t>
  </si>
  <si>
    <t>Don_Angel</t>
  </si>
  <si>
    <t>Los_Cuatro</t>
  </si>
  <si>
    <t>LRM</t>
  </si>
  <si>
    <t>Los_Reyes_Magos</t>
  </si>
  <si>
    <t>Ment</t>
  </si>
  <si>
    <t>RLG</t>
  </si>
  <si>
    <t>RyJLC</t>
  </si>
  <si>
    <t>13_de_Junio</t>
  </si>
  <si>
    <t>Bonanza</t>
  </si>
  <si>
    <t>Don_Germán</t>
  </si>
  <si>
    <t>La_Alegría_Puesto</t>
  </si>
  <si>
    <t>La_Perlita</t>
  </si>
  <si>
    <t>La_Ponderosa</t>
  </si>
  <si>
    <t>San_Benito</t>
  </si>
  <si>
    <t>SS</t>
  </si>
  <si>
    <t>Martín_Fierro</t>
  </si>
  <si>
    <t>San_Silvestre</t>
  </si>
  <si>
    <t>TAS</t>
  </si>
  <si>
    <t>Dambrosio</t>
  </si>
  <si>
    <t>La_Boya</t>
  </si>
  <si>
    <t>La_Lucha</t>
  </si>
  <si>
    <t>DS
sem/ha</t>
  </si>
  <si>
    <t>RESUMEN</t>
  </si>
  <si>
    <t>LP</t>
  </si>
  <si>
    <t>Elunen</t>
  </si>
  <si>
    <t>La_Magdalena</t>
  </si>
  <si>
    <t>La_Sofía</t>
  </si>
  <si>
    <t>La_Providencia</t>
  </si>
  <si>
    <t>La_Helena</t>
  </si>
  <si>
    <t>EL_Quijote</t>
  </si>
  <si>
    <t>San_Julio</t>
  </si>
  <si>
    <t>San_Ricardo</t>
  </si>
  <si>
    <t>LBo_2</t>
  </si>
  <si>
    <t>Cultivo</t>
  </si>
  <si>
    <t>Espaciamiento (cm)</t>
  </si>
  <si>
    <t>Semillero</t>
  </si>
  <si>
    <t>Genética</t>
  </si>
  <si>
    <t>Calibre</t>
  </si>
  <si>
    <t>Densidad siembra Recomendada</t>
  </si>
  <si>
    <t>Observaciones</t>
  </si>
  <si>
    <t>Maiz</t>
  </si>
  <si>
    <t>Soja</t>
  </si>
  <si>
    <t>Dekalb</t>
  </si>
  <si>
    <t>-</t>
  </si>
  <si>
    <t/>
  </si>
  <si>
    <t>Stine</t>
  </si>
  <si>
    <t>Maiz Silo 2da</t>
  </si>
  <si>
    <t>AL_6</t>
  </si>
  <si>
    <t>Maiz tardio</t>
  </si>
  <si>
    <t>Pastura</t>
  </si>
  <si>
    <t>AL_7</t>
  </si>
  <si>
    <t>Natural</t>
  </si>
  <si>
    <t>Syngenta</t>
  </si>
  <si>
    <t>Sjo_8b</t>
  </si>
  <si>
    <t>Soja 2da</t>
  </si>
  <si>
    <t>La Tijereta</t>
  </si>
  <si>
    <t>lt725 tre</t>
  </si>
  <si>
    <t>Sorgo Pastoreo</t>
  </si>
  <si>
    <t>Girasol</t>
  </si>
  <si>
    <t>dk7272 tre</t>
  </si>
  <si>
    <t>dk6962 tre</t>
  </si>
  <si>
    <t>Lamaison</t>
  </si>
  <si>
    <t>R17</t>
  </si>
  <si>
    <t>Brevant</t>
  </si>
  <si>
    <t>brv8380 pwue</t>
  </si>
  <si>
    <t>Maiz Silo Tardio</t>
  </si>
  <si>
    <t>B1</t>
  </si>
  <si>
    <t>Maiz 2da</t>
  </si>
  <si>
    <t>Verdeo de Invierno</t>
  </si>
  <si>
    <t>AL_12</t>
  </si>
  <si>
    <t>AL_4</t>
  </si>
  <si>
    <t>Maiz Silo</t>
  </si>
  <si>
    <t>Don_Manuel</t>
  </si>
  <si>
    <t>DM_1-2-3-4</t>
  </si>
  <si>
    <t>Fossati</t>
  </si>
  <si>
    <t>Fossa_1</t>
  </si>
  <si>
    <t>st9939 vip3</t>
  </si>
  <si>
    <t>Fossa_2</t>
  </si>
  <si>
    <t>SJo_18a</t>
  </si>
  <si>
    <t>SJo_6</t>
  </si>
  <si>
    <t>SMta_23n</t>
  </si>
  <si>
    <t>Cultivo de Servicio</t>
  </si>
  <si>
    <t>dk7303 rr2</t>
  </si>
  <si>
    <t>Beneitez</t>
  </si>
  <si>
    <t>Alday</t>
  </si>
  <si>
    <t>Ayelen</t>
  </si>
  <si>
    <t>Aye_14</t>
  </si>
  <si>
    <t>C19</t>
  </si>
  <si>
    <t>Aye_17</t>
  </si>
  <si>
    <t>Bethuart</t>
  </si>
  <si>
    <t>Beth_2</t>
  </si>
  <si>
    <t>R4</t>
  </si>
  <si>
    <t>DG_18</t>
  </si>
  <si>
    <t>Don_Lui</t>
  </si>
  <si>
    <t>Sorgo Silo</t>
  </si>
  <si>
    <t>Est_Las_Guasquitas</t>
  </si>
  <si>
    <t>La_Alegría</t>
  </si>
  <si>
    <t>LP_5</t>
  </si>
  <si>
    <t>SBe_8b</t>
  </si>
  <si>
    <t>FS</t>
  </si>
  <si>
    <t>SS_1</t>
  </si>
  <si>
    <t>SS_C4c</t>
  </si>
  <si>
    <t>LBo_4</t>
  </si>
  <si>
    <t>LBo_8a</t>
  </si>
  <si>
    <t>LBo_9a</t>
  </si>
  <si>
    <t>LLu_3r</t>
  </si>
  <si>
    <t>LLu_5</t>
  </si>
  <si>
    <t>Las_Corridas</t>
  </si>
  <si>
    <t>LCor_1</t>
  </si>
  <si>
    <t>Densidad de siembra</t>
  </si>
  <si>
    <t>Distancia eq 10 m2 (m)</t>
  </si>
  <si>
    <t>Semillas/m lineal</t>
  </si>
  <si>
    <t>Distancia e/semillas(cm)</t>
  </si>
  <si>
    <t>Doble (cm)</t>
  </si>
  <si>
    <t>Fallo (cm)</t>
  </si>
  <si>
    <t>Aceptable</t>
  </si>
  <si>
    <t>AMBIENTE REGIONAL</t>
  </si>
  <si>
    <t>Ambiente</t>
  </si>
  <si>
    <t>L3 (&gt;80% arena)</t>
  </si>
  <si>
    <t>LOMA 3</t>
  </si>
  <si>
    <t>L2 (70-80% arena)</t>
  </si>
  <si>
    <t>LOMA 2</t>
  </si>
  <si>
    <t>L1 (&lt;70% arena)</t>
  </si>
  <si>
    <t>LOMA 1</t>
  </si>
  <si>
    <t>ML 3 (&gt;80% arena)</t>
  </si>
  <si>
    <t>MEDIA LOMA 3</t>
  </si>
  <si>
    <t>ML 2 (70-80% arena)</t>
  </si>
  <si>
    <t>MEDIA LOMA 2</t>
  </si>
  <si>
    <t>ML 1 (&lt;70% arena)</t>
  </si>
  <si>
    <t>MEDIA LOMA 1</t>
  </si>
  <si>
    <t>ML-T (tapto &lt; 60 cm)</t>
  </si>
  <si>
    <t>MEDIA LOMA - TAPTO</t>
  </si>
  <si>
    <t>B-T1 (tapto &lt;60 cm)</t>
  </si>
  <si>
    <t>BAJO - TAPTO 1</t>
  </si>
  <si>
    <t>B-T2 (tapto &lt;60 + CaCo3)</t>
  </si>
  <si>
    <t>BAJO - TAPTO 2</t>
  </si>
  <si>
    <t>B-T3 (tapto &lt;60 + &gt;8ph)</t>
  </si>
  <si>
    <t>BAJO - TAPTO 3</t>
  </si>
  <si>
    <t>B-Ts1 (tosca 60-120cm)</t>
  </si>
  <si>
    <t>BAJO - TOSCA 1</t>
  </si>
  <si>
    <t>B-Ts2 (tosca &lt;60cm)</t>
  </si>
  <si>
    <t>BAJO - TOSCA 2</t>
  </si>
  <si>
    <t>ML-Ts1 (tosca 60-120cm)</t>
  </si>
  <si>
    <t>MEDIA LOMA - TOSCA 1</t>
  </si>
  <si>
    <t>ML-Ts2 (tosca &lt;60cm)</t>
  </si>
  <si>
    <t>MEDIA LOMA - TOSCA 2</t>
  </si>
  <si>
    <t>L1-Ts1 (tosca 60-120cm)</t>
  </si>
  <si>
    <t>LOMA - TOSCA 1</t>
  </si>
  <si>
    <t>L1-Ts2 (tosca &lt;60cm)</t>
  </si>
  <si>
    <t>LOMA - TOSCA 2</t>
  </si>
  <si>
    <t>B1 (&gt;3% MO)</t>
  </si>
  <si>
    <t>BAJO 1</t>
  </si>
  <si>
    <t>B2 (&lt;3% MO)</t>
  </si>
  <si>
    <t>BAJO 2</t>
  </si>
  <si>
    <t>B3 (&gt; 8ph)</t>
  </si>
  <si>
    <t>BAJO 3</t>
  </si>
  <si>
    <t>L3</t>
  </si>
  <si>
    <t>L2</t>
  </si>
  <si>
    <t>L1</t>
  </si>
  <si>
    <t>ML-T</t>
  </si>
  <si>
    <t>B-T1</t>
  </si>
  <si>
    <t>B-T2</t>
  </si>
  <si>
    <t>B-T3</t>
  </si>
  <si>
    <t>B-Ts1</t>
  </si>
  <si>
    <t>B-Ts2</t>
  </si>
  <si>
    <t>ML-Ts1</t>
  </si>
  <si>
    <t>ML-Ts2</t>
  </si>
  <si>
    <t>L1-Ts1</t>
  </si>
  <si>
    <t>L1-Ts2</t>
  </si>
  <si>
    <t>B2</t>
  </si>
  <si>
    <t>B3</t>
  </si>
  <si>
    <t>ML3</t>
  </si>
  <si>
    <t>ML2</t>
  </si>
  <si>
    <t>ML1</t>
  </si>
  <si>
    <t>Arveja</t>
  </si>
  <si>
    <t>Avena</t>
  </si>
  <si>
    <t>Camelina</t>
  </si>
  <si>
    <t>Cebada</t>
  </si>
  <si>
    <t>Cebada Silo</t>
  </si>
  <si>
    <t>Centeno</t>
  </si>
  <si>
    <t>Garbanzo</t>
  </si>
  <si>
    <t>Inundación</t>
  </si>
  <si>
    <t>Maíz Pastoreo</t>
  </si>
  <si>
    <t>Maní</t>
  </si>
  <si>
    <t>Papa</t>
  </si>
  <si>
    <t>Pasto Llorón</t>
  </si>
  <si>
    <t>Sorgo</t>
  </si>
  <si>
    <t>Trigo</t>
  </si>
  <si>
    <t>Trigo Silo</t>
  </si>
  <si>
    <t>Verdeo de Verano</t>
  </si>
  <si>
    <t>Triticale Silo</t>
  </si>
  <si>
    <t>Centeno Silo</t>
  </si>
  <si>
    <t>Vicia + Graminea silo</t>
  </si>
  <si>
    <t>Codigo Amb</t>
  </si>
  <si>
    <t>Codigo Ant.</t>
  </si>
  <si>
    <t>arv</t>
  </si>
  <si>
    <t>cam</t>
  </si>
  <si>
    <t>nat</t>
  </si>
  <si>
    <t>av</t>
  </si>
  <si>
    <t>ce</t>
  </si>
  <si>
    <t>ces</t>
  </si>
  <si>
    <t>cent</t>
  </si>
  <si>
    <t>cc</t>
  </si>
  <si>
    <t>gi</t>
  </si>
  <si>
    <t>mz</t>
  </si>
  <si>
    <t>mzt</t>
  </si>
  <si>
    <t>mz2</t>
  </si>
  <si>
    <t>mzp</t>
  </si>
  <si>
    <t>mzs</t>
  </si>
  <si>
    <t>mzst</t>
  </si>
  <si>
    <t>mzs2</t>
  </si>
  <si>
    <t>mn</t>
  </si>
  <si>
    <t>LL</t>
  </si>
  <si>
    <t>PP</t>
  </si>
  <si>
    <t>sj</t>
  </si>
  <si>
    <t>sj2</t>
  </si>
  <si>
    <t>sg</t>
  </si>
  <si>
    <t>sgp</t>
  </si>
  <si>
    <t>sgs</t>
  </si>
  <si>
    <t>tr</t>
  </si>
  <si>
    <t>trs</t>
  </si>
  <si>
    <t>vi</t>
  </si>
  <si>
    <t>vv</t>
  </si>
  <si>
    <t>trits</t>
  </si>
  <si>
    <t>cents</t>
  </si>
  <si>
    <t>grs/vics</t>
  </si>
  <si>
    <t>garb</t>
  </si>
  <si>
    <t>papa</t>
  </si>
  <si>
    <t>inund</t>
  </si>
  <si>
    <t>Cerca</t>
  </si>
  <si>
    <t>% de plantas a MENOS de un 50% del distaciamiento ideal</t>
  </si>
  <si>
    <t>Lejos</t>
  </si>
  <si>
    <t>% de plantas a MAS de un 50% del distaciamiento ideal</t>
  </si>
  <si>
    <t>Uniformidad</t>
  </si>
  <si>
    <t>Distanciamiento conforme al ideal ±50%</t>
  </si>
  <si>
    <t>AGBA</t>
  </si>
  <si>
    <t>Launania</t>
  </si>
  <si>
    <t>AL_11</t>
  </si>
  <si>
    <t>semilla maíz</t>
  </si>
  <si>
    <t>DM_5</t>
  </si>
  <si>
    <t>EBC</t>
  </si>
  <si>
    <t>maria r plus</t>
  </si>
  <si>
    <t>San_Javier</t>
  </si>
  <si>
    <t>SJa_1</t>
  </si>
  <si>
    <t>SJa_3</t>
  </si>
  <si>
    <t>SJa_4y5</t>
  </si>
  <si>
    <t>SJo_17</t>
  </si>
  <si>
    <t>SJo_8</t>
  </si>
  <si>
    <t>DA_14_sur</t>
  </si>
  <si>
    <t>dk7303 tre</t>
  </si>
  <si>
    <t>Aye_1y2</t>
  </si>
  <si>
    <t>Aye_8b</t>
  </si>
  <si>
    <t>DG_1</t>
  </si>
  <si>
    <t>DG_6</t>
  </si>
  <si>
    <t>DG_8</t>
  </si>
  <si>
    <t>LAP_1c</t>
  </si>
  <si>
    <t>LP_4</t>
  </si>
  <si>
    <t>LP_7</t>
  </si>
  <si>
    <t>Damb_S2</t>
  </si>
  <si>
    <t>lt721 tre</t>
  </si>
  <si>
    <t>LLu_6</t>
  </si>
  <si>
    <t>LLu_Ensenada</t>
  </si>
  <si>
    <t>Lau_8</t>
  </si>
  <si>
    <t>AL_10</t>
  </si>
  <si>
    <t>AL_2b</t>
  </si>
  <si>
    <t>AL_3b</t>
  </si>
  <si>
    <t>AL_5</t>
  </si>
  <si>
    <t>AL_8</t>
  </si>
  <si>
    <t>nk979 vip3</t>
  </si>
  <si>
    <t>E_2</t>
  </si>
  <si>
    <t>E_7</t>
  </si>
  <si>
    <t>Picucho</t>
  </si>
  <si>
    <t>Pic_1_norte</t>
  </si>
  <si>
    <t>Pic_1_sur</t>
  </si>
  <si>
    <t>Pic_2_norte</t>
  </si>
  <si>
    <t>Pic_2_sur</t>
  </si>
  <si>
    <t>Pic_3</t>
  </si>
  <si>
    <t>Pic_4</t>
  </si>
  <si>
    <t>Cultivo de servicio</t>
  </si>
  <si>
    <t>Fino</t>
  </si>
  <si>
    <t>Fino_1</t>
  </si>
  <si>
    <t>Fino_2</t>
  </si>
  <si>
    <t>LCh_01</t>
  </si>
  <si>
    <t>LCh_13</t>
  </si>
  <si>
    <t>LCh_16</t>
  </si>
  <si>
    <t>SJo_18b</t>
  </si>
  <si>
    <t>SMta_04_n</t>
  </si>
  <si>
    <t>SMta_06</t>
  </si>
  <si>
    <t>SMta_06s</t>
  </si>
  <si>
    <t>SMta_12</t>
  </si>
  <si>
    <t>SMta_16</t>
  </si>
  <si>
    <t>SMta_18</t>
  </si>
  <si>
    <t>SMta_19n</t>
  </si>
  <si>
    <t>Zemma</t>
  </si>
  <si>
    <t>Zemma_1</t>
  </si>
  <si>
    <t>LMgd_7</t>
  </si>
  <si>
    <t>LMgd_8</t>
  </si>
  <si>
    <t>SPe_3</t>
  </si>
  <si>
    <t>SPe_4</t>
  </si>
  <si>
    <t>DA_12</t>
  </si>
  <si>
    <t>DA_3</t>
  </si>
  <si>
    <t>DA_4</t>
  </si>
  <si>
    <t>LS_1</t>
  </si>
  <si>
    <t>LS_2</t>
  </si>
  <si>
    <t>Las_Aparancias</t>
  </si>
  <si>
    <t>LApa_2</t>
  </si>
  <si>
    <t>LC_1</t>
  </si>
  <si>
    <t>LC_3a</t>
  </si>
  <si>
    <t>LC_3b</t>
  </si>
  <si>
    <t>Medición de napa 24/8/26</t>
  </si>
  <si>
    <t>LC_6</t>
  </si>
  <si>
    <t>LProv_10</t>
  </si>
  <si>
    <t>LProv_2</t>
  </si>
  <si>
    <t>LProv_3</t>
  </si>
  <si>
    <t>LRM_12</t>
  </si>
  <si>
    <t>LRM_14y15a</t>
  </si>
  <si>
    <t>LRM_15b</t>
  </si>
  <si>
    <t>LRM_3</t>
  </si>
  <si>
    <t>LRM_3c</t>
  </si>
  <si>
    <t>LRM_4</t>
  </si>
  <si>
    <t>LRM_4c</t>
  </si>
  <si>
    <t>LRM_7</t>
  </si>
  <si>
    <t>LHe_4ayb</t>
  </si>
  <si>
    <t>LHe_7</t>
  </si>
  <si>
    <t>ACA</t>
  </si>
  <si>
    <t>aca471 vttp</t>
  </si>
  <si>
    <t>LHe_8</t>
  </si>
  <si>
    <t>LHe_medano</t>
  </si>
  <si>
    <t>Lhe_bajo</t>
  </si>
  <si>
    <t>Be_1y2</t>
  </si>
  <si>
    <t>dk7220 rr2</t>
  </si>
  <si>
    <t>c4</t>
  </si>
  <si>
    <t>EQ_1</t>
  </si>
  <si>
    <t>EQ_2</t>
  </si>
  <si>
    <t>EQ_3</t>
  </si>
  <si>
    <t>EQ_5</t>
  </si>
  <si>
    <t>EQ_6</t>
  </si>
  <si>
    <t>EQ_7</t>
  </si>
  <si>
    <t>Goñi</t>
  </si>
  <si>
    <t>Go_1</t>
  </si>
  <si>
    <t>dk6962 rib</t>
  </si>
  <si>
    <t>spc</t>
  </si>
  <si>
    <t>Go_2</t>
  </si>
  <si>
    <t>r4</t>
  </si>
  <si>
    <t>La_Casualidad</t>
  </si>
  <si>
    <t>LCas_1y2</t>
  </si>
  <si>
    <t>LCas_3</t>
  </si>
  <si>
    <t>LCas_4-5-6</t>
  </si>
  <si>
    <t>La_Chance</t>
  </si>
  <si>
    <t>LChan</t>
  </si>
  <si>
    <t>Lam_5</t>
  </si>
  <si>
    <t>13_Jun_10-11-12s</t>
  </si>
  <si>
    <t>13_Jun_12ny13</t>
  </si>
  <si>
    <t>Ald_3-4-5-6-7</t>
  </si>
  <si>
    <t>Aye_11y12a</t>
  </si>
  <si>
    <t>RFG22 Enlist</t>
  </si>
  <si>
    <t>Cebada silo</t>
  </si>
  <si>
    <t>Aye_5</t>
  </si>
  <si>
    <t>Aye_6a</t>
  </si>
  <si>
    <t>Aye_7y8a</t>
  </si>
  <si>
    <t>Beth_1</t>
  </si>
  <si>
    <t>Bo_10</t>
  </si>
  <si>
    <t>Bo_11</t>
  </si>
  <si>
    <t>Bo_12</t>
  </si>
  <si>
    <t>Bo_13</t>
  </si>
  <si>
    <t>Bo_14</t>
  </si>
  <si>
    <t>SPC</t>
  </si>
  <si>
    <t>Bo_15</t>
  </si>
  <si>
    <t>DG_14</t>
  </si>
  <si>
    <t>DG_16b</t>
  </si>
  <si>
    <t>DG_17</t>
  </si>
  <si>
    <t>DG_3</t>
  </si>
  <si>
    <t>DLu_3y4</t>
  </si>
  <si>
    <t>ELG_1</t>
  </si>
  <si>
    <t>ELG_11</t>
  </si>
  <si>
    <t>C17</t>
  </si>
  <si>
    <t>ELG_14</t>
  </si>
  <si>
    <t>LA_2ayb</t>
  </si>
  <si>
    <t>C5</t>
  </si>
  <si>
    <t>LAP_3a</t>
  </si>
  <si>
    <t>La_Cambicha</t>
  </si>
  <si>
    <t>Lcamb_1y5</t>
  </si>
  <si>
    <t>Lcamb_2-3-4</t>
  </si>
  <si>
    <t>La_Cobacha</t>
  </si>
  <si>
    <t>Lcob_1-2-3-4-5-6</t>
  </si>
  <si>
    <t>Lcob_7</t>
  </si>
  <si>
    <t>Lcob_8</t>
  </si>
  <si>
    <t>La_Leonilda</t>
  </si>
  <si>
    <t>Lle_1</t>
  </si>
  <si>
    <t>Lperl_1</t>
  </si>
  <si>
    <t>Lperl_3-4-5-7</t>
  </si>
  <si>
    <t>Lperl_6</t>
  </si>
  <si>
    <t>LP_6</t>
  </si>
  <si>
    <t>SBe_9b</t>
  </si>
  <si>
    <t>SJul_1</t>
  </si>
  <si>
    <t>SJul_10</t>
  </si>
  <si>
    <t>SJul_4a</t>
  </si>
  <si>
    <t>SJul_4b</t>
  </si>
  <si>
    <t>SRi_11y12</t>
  </si>
  <si>
    <t>SRi_19</t>
  </si>
  <si>
    <t>SRi_20y21</t>
  </si>
  <si>
    <t>SRi_36-37-38</t>
  </si>
  <si>
    <t>SRi_6-7-13</t>
  </si>
  <si>
    <t>MF_15</t>
  </si>
  <si>
    <t>MF_16</t>
  </si>
  <si>
    <t>MF_9y10</t>
  </si>
  <si>
    <t>MF_Romero</t>
  </si>
  <si>
    <t>FO-FE-FNuevo</t>
  </si>
  <si>
    <t>SS_2</t>
  </si>
  <si>
    <t>SS_3y4</t>
  </si>
  <si>
    <t>SS_5y6</t>
  </si>
  <si>
    <t>SS_C1</t>
  </si>
  <si>
    <t>SS_C3a</t>
  </si>
  <si>
    <t>Damb_G1</t>
  </si>
  <si>
    <t>Damb_G2y3</t>
  </si>
  <si>
    <t>Damb_S3</t>
  </si>
  <si>
    <t>Damb_T4</t>
  </si>
  <si>
    <t>LBo_10b</t>
  </si>
  <si>
    <t>LBo_11a</t>
  </si>
  <si>
    <t>LBo_11b</t>
  </si>
  <si>
    <t>LBo_3</t>
  </si>
  <si>
    <t>LBo_6bajo</t>
  </si>
  <si>
    <t>KWS</t>
  </si>
  <si>
    <t>kws4216 glstack</t>
  </si>
  <si>
    <t>LCor_2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</si>
</sst>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"/>
    <numFmt numFmtId="166" formatCode="_ * #,##0_ ;_ * \-#,##0_ ;_ * &quot;-&quot;??_ ;_ @_ "/>
    <numFmt numFmtId="167" formatCode="#,##0.0"/>
  </numFmts>
  <fonts count="46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16"/>
      <name val="Arial"/>
      <family val="2"/>
    </font>
    <font>
      <b/>
      <u/>
      <sz val="18"/>
      <name val="Arial"/>
      <family val="2"/>
    </font>
    <font>
      <sz val="10"/>
      <color theme="0"/>
      <name val="Arial"/>
      <family val="2"/>
    </font>
    <font>
      <b/>
      <u/>
      <sz val="16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i/>
      <sz val="11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b/>
      <i/>
      <sz val="9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b/>
      <sz val="11"/>
      <name val="Calibri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0"/>
      <name val="Aptos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3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164" fontId="1" fillId="0" borderId="0" applyFont="0" applyFill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" fillId="23" borderId="4" applyNumberFormat="0" applyFont="0" applyAlignment="0" applyProtection="0"/>
    <xf numFmtId="9" fontId="1" fillId="0" borderId="0" applyFont="0" applyFill="0" applyBorder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8" fillId="0" borderId="9" applyNumberFormat="0" applyFill="0" applyAlignment="0" applyProtection="0"/>
  </cellStyleXfs>
  <cellXfs count="146">
    <xf numFmtId="0" fontId="0" fillId="0" borderId="0" xfId="0"/>
    <xf numFmtId="0" fontId="0" fillId="0" borderId="0" xfId="0" applyProtection="1">
      <protection hidden="1"/>
    </xf>
    <xf numFmtId="0" fontId="22" fillId="0" borderId="0" xfId="0" applyFont="1" applyProtection="1">
      <protection hidden="1"/>
    </xf>
    <xf numFmtId="0" fontId="20" fillId="0" borderId="0" xfId="0" applyFont="1" applyAlignment="1" applyProtection="1">
      <alignment vertical="center"/>
      <protection hidden="1"/>
    </xf>
    <xf numFmtId="0" fontId="1" fillId="0" borderId="0" xfId="34"/>
    <xf numFmtId="0" fontId="23" fillId="0" borderId="0" xfId="34" applyFont="1"/>
    <xf numFmtId="0" fontId="25" fillId="0" borderId="0" xfId="34" applyFont="1"/>
    <xf numFmtId="0" fontId="27" fillId="0" borderId="0" xfId="0" applyFont="1" applyProtection="1">
      <protection hidden="1"/>
    </xf>
    <xf numFmtId="0" fontId="28" fillId="0" borderId="0" xfId="0" applyFont="1" applyProtection="1">
      <protection hidden="1"/>
    </xf>
    <xf numFmtId="0" fontId="29" fillId="0" borderId="0" xfId="0" applyFont="1" applyProtection="1">
      <protection hidden="1"/>
    </xf>
    <xf numFmtId="0" fontId="30" fillId="0" borderId="0" xfId="0" applyFont="1" applyProtection="1">
      <protection hidden="1"/>
    </xf>
    <xf numFmtId="2" fontId="33" fillId="0" borderId="0" xfId="0" applyNumberFormat="1" applyFont="1" applyAlignment="1" applyProtection="1">
      <alignment horizontal="center" vertical="center"/>
      <protection hidden="1"/>
    </xf>
    <xf numFmtId="0" fontId="33" fillId="0" borderId="12" xfId="0" applyFont="1" applyBorder="1" applyProtection="1">
      <protection hidden="1"/>
    </xf>
    <xf numFmtId="0" fontId="27" fillId="0" borderId="19" xfId="0" applyFont="1" applyBorder="1" applyProtection="1">
      <protection hidden="1"/>
    </xf>
    <xf numFmtId="0" fontId="27" fillId="0" borderId="16" xfId="0" applyFont="1" applyBorder="1" applyAlignment="1" applyProtection="1">
      <alignment horizontal="center"/>
      <protection hidden="1"/>
    </xf>
    <xf numFmtId="0" fontId="27" fillId="0" borderId="20" xfId="0" applyFont="1" applyBorder="1" applyAlignment="1" applyProtection="1">
      <alignment horizontal="center"/>
      <protection hidden="1"/>
    </xf>
    <xf numFmtId="0" fontId="33" fillId="0" borderId="18" xfId="0" applyFont="1" applyBorder="1" applyProtection="1">
      <protection hidden="1"/>
    </xf>
    <xf numFmtId="0" fontId="27" fillId="0" borderId="15" xfId="0" applyFont="1" applyBorder="1" applyAlignment="1" applyProtection="1">
      <alignment horizontal="center"/>
      <protection hidden="1"/>
    </xf>
    <xf numFmtId="0" fontId="27" fillId="0" borderId="11" xfId="0" applyFont="1" applyBorder="1" applyAlignment="1" applyProtection="1">
      <alignment horizontal="center"/>
      <protection hidden="1"/>
    </xf>
    <xf numFmtId="0" fontId="27" fillId="0" borderId="22" xfId="0" applyFont="1" applyBorder="1" applyAlignment="1" applyProtection="1">
      <alignment horizontal="center"/>
      <protection hidden="1"/>
    </xf>
    <xf numFmtId="0" fontId="27" fillId="0" borderId="12" xfId="0" applyFont="1" applyBorder="1" applyProtection="1">
      <protection hidden="1"/>
    </xf>
    <xf numFmtId="0" fontId="27" fillId="0" borderId="20" xfId="0" applyFont="1" applyBorder="1" applyProtection="1">
      <protection hidden="1"/>
    </xf>
    <xf numFmtId="0" fontId="27" fillId="0" borderId="19" xfId="0" applyFont="1" applyBorder="1" applyAlignment="1" applyProtection="1">
      <alignment horizontal="center"/>
      <protection hidden="1"/>
    </xf>
    <xf numFmtId="0" fontId="28" fillId="0" borderId="19" xfId="0" applyFont="1" applyBorder="1" applyAlignment="1" applyProtection="1">
      <alignment horizontal="center"/>
      <protection hidden="1"/>
    </xf>
    <xf numFmtId="0" fontId="28" fillId="27" borderId="19" xfId="0" applyFont="1" applyFill="1" applyBorder="1" applyAlignment="1" applyProtection="1">
      <alignment horizontal="center"/>
      <protection hidden="1"/>
    </xf>
    <xf numFmtId="164" fontId="28" fillId="0" borderId="21" xfId="32" applyFont="1" applyBorder="1" applyProtection="1">
      <protection hidden="1"/>
    </xf>
    <xf numFmtId="166" fontId="28" fillId="0" borderId="10" xfId="32" applyNumberFormat="1" applyFont="1" applyBorder="1" applyProtection="1">
      <protection hidden="1"/>
    </xf>
    <xf numFmtId="164" fontId="28" fillId="0" borderId="10" xfId="32" applyFont="1" applyBorder="1" applyProtection="1">
      <protection hidden="1"/>
    </xf>
    <xf numFmtId="9" fontId="28" fillId="0" borderId="0" xfId="36" applyFont="1" applyBorder="1" applyProtection="1">
      <protection hidden="1"/>
    </xf>
    <xf numFmtId="0" fontId="32" fillId="0" borderId="32" xfId="0" applyFont="1" applyBorder="1" applyProtection="1">
      <protection hidden="1"/>
    </xf>
    <xf numFmtId="0" fontId="28" fillId="0" borderId="21" xfId="0" applyFont="1" applyBorder="1" applyAlignment="1" applyProtection="1">
      <alignment horizontal="center"/>
      <protection hidden="1"/>
    </xf>
    <xf numFmtId="0" fontId="28" fillId="27" borderId="21" xfId="0" applyFont="1" applyFill="1" applyBorder="1" applyAlignment="1" applyProtection="1">
      <alignment horizontal="center"/>
      <protection hidden="1"/>
    </xf>
    <xf numFmtId="0" fontId="36" fillId="24" borderId="11" xfId="0" applyFont="1" applyFill="1" applyBorder="1" applyProtection="1">
      <protection hidden="1"/>
    </xf>
    <xf numFmtId="0" fontId="32" fillId="0" borderId="33" xfId="0" applyFont="1" applyBorder="1" applyProtection="1">
      <protection hidden="1"/>
    </xf>
    <xf numFmtId="0" fontId="32" fillId="0" borderId="34" xfId="0" applyFont="1" applyBorder="1" applyProtection="1">
      <protection hidden="1"/>
    </xf>
    <xf numFmtId="164" fontId="28" fillId="0" borderId="15" xfId="32" applyFont="1" applyBorder="1" applyProtection="1">
      <protection hidden="1"/>
    </xf>
    <xf numFmtId="166" fontId="28" fillId="0" borderId="11" xfId="32" applyNumberFormat="1" applyFont="1" applyBorder="1" applyProtection="1">
      <protection hidden="1"/>
    </xf>
    <xf numFmtId="164" fontId="28" fillId="0" borderId="11" xfId="32" applyFont="1" applyBorder="1" applyProtection="1">
      <protection hidden="1"/>
    </xf>
    <xf numFmtId="9" fontId="28" fillId="0" borderId="14" xfId="36" applyFont="1" applyBorder="1" applyProtection="1">
      <protection hidden="1"/>
    </xf>
    <xf numFmtId="0" fontId="32" fillId="0" borderId="35" xfId="0" applyFont="1" applyBorder="1" applyProtection="1">
      <protection hidden="1"/>
    </xf>
    <xf numFmtId="164" fontId="27" fillId="25" borderId="24" xfId="0" applyNumberFormat="1" applyFont="1" applyFill="1" applyBorder="1" applyProtection="1">
      <protection hidden="1"/>
    </xf>
    <xf numFmtId="166" fontId="28" fillId="0" borderId="0" xfId="32" applyNumberFormat="1" applyFont="1" applyFill="1" applyBorder="1" applyProtection="1">
      <protection hidden="1"/>
    </xf>
    <xf numFmtId="2" fontId="27" fillId="0" borderId="0" xfId="0" applyNumberFormat="1" applyFont="1" applyProtection="1">
      <protection hidden="1"/>
    </xf>
    <xf numFmtId="0" fontId="37" fillId="0" borderId="0" xfId="0" applyFont="1" applyProtection="1">
      <protection hidden="1"/>
    </xf>
    <xf numFmtId="0" fontId="27" fillId="0" borderId="16" xfId="0" applyFont="1" applyBorder="1" applyProtection="1">
      <protection hidden="1"/>
    </xf>
    <xf numFmtId="0" fontId="27" fillId="24" borderId="27" xfId="0" applyFont="1" applyFill="1" applyBorder="1" applyProtection="1">
      <protection hidden="1"/>
    </xf>
    <xf numFmtId="0" fontId="27" fillId="24" borderId="13" xfId="0" applyFont="1" applyFill="1" applyBorder="1" applyProtection="1">
      <protection hidden="1"/>
    </xf>
    <xf numFmtId="2" fontId="27" fillId="26" borderId="19" xfId="0" applyNumberFormat="1" applyFont="1" applyFill="1" applyBorder="1" applyProtection="1">
      <protection hidden="1"/>
    </xf>
    <xf numFmtId="0" fontId="28" fillId="0" borderId="15" xfId="0" applyFont="1" applyBorder="1" applyAlignment="1" applyProtection="1">
      <alignment horizontal="center"/>
      <protection hidden="1"/>
    </xf>
    <xf numFmtId="0" fontId="28" fillId="27" borderId="15" xfId="0" applyFont="1" applyFill="1" applyBorder="1" applyAlignment="1" applyProtection="1">
      <alignment horizontal="center"/>
      <protection hidden="1"/>
    </xf>
    <xf numFmtId="0" fontId="33" fillId="0" borderId="17" xfId="0" applyFont="1" applyBorder="1" applyProtection="1">
      <protection hidden="1"/>
    </xf>
    <xf numFmtId="0" fontId="27" fillId="0" borderId="10" xfId="0" applyFont="1" applyBorder="1" applyProtection="1">
      <protection hidden="1"/>
    </xf>
    <xf numFmtId="166" fontId="28" fillId="25" borderId="0" xfId="32" applyNumberFormat="1" applyFont="1" applyFill="1" applyBorder="1" applyProtection="1">
      <protection hidden="1"/>
    </xf>
    <xf numFmtId="0" fontId="27" fillId="25" borderId="10" xfId="0" applyFont="1" applyFill="1" applyBorder="1" applyProtection="1">
      <protection hidden="1"/>
    </xf>
    <xf numFmtId="2" fontId="27" fillId="26" borderId="15" xfId="0" applyNumberFormat="1" applyFont="1" applyFill="1" applyBorder="1" applyProtection="1">
      <protection hidden="1"/>
    </xf>
    <xf numFmtId="0" fontId="27" fillId="0" borderId="11" xfId="0" applyFont="1" applyBorder="1" applyProtection="1">
      <protection hidden="1"/>
    </xf>
    <xf numFmtId="2" fontId="33" fillId="25" borderId="14" xfId="0" applyNumberFormat="1" applyFont="1" applyFill="1" applyBorder="1" applyProtection="1">
      <protection hidden="1"/>
    </xf>
    <xf numFmtId="0" fontId="27" fillId="25" borderId="11" xfId="0" applyFont="1" applyFill="1" applyBorder="1" applyProtection="1">
      <protection hidden="1"/>
    </xf>
    <xf numFmtId="0" fontId="27" fillId="0" borderId="14" xfId="0" applyFont="1" applyBorder="1" applyProtection="1">
      <protection hidden="1"/>
    </xf>
    <xf numFmtId="9" fontId="28" fillId="25" borderId="18" xfId="36" applyFont="1" applyFill="1" applyBorder="1" applyProtection="1">
      <protection hidden="1"/>
    </xf>
    <xf numFmtId="0" fontId="35" fillId="0" borderId="0" xfId="0" applyFont="1" applyProtection="1">
      <protection hidden="1"/>
    </xf>
    <xf numFmtId="14" fontId="27" fillId="0" borderId="0" xfId="0" applyNumberFormat="1" applyFont="1" applyAlignment="1" applyProtection="1">
      <alignment horizont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9" fillId="0" borderId="0" xfId="0" applyFont="1" applyProtection="1">
      <protection hidden="1"/>
    </xf>
    <xf numFmtId="0" fontId="40" fillId="0" borderId="0" xfId="0" applyFont="1" applyAlignment="1" applyProtection="1">
      <alignment vertical="center"/>
      <protection hidden="1"/>
    </xf>
    <xf numFmtId="0" fontId="21" fillId="24" borderId="25" xfId="0" applyFont="1" applyFill="1" applyBorder="1" applyAlignment="1" applyProtection="1">
      <alignment horizontal="center"/>
      <protection hidden="1"/>
    </xf>
    <xf numFmtId="0" fontId="19" fillId="24" borderId="28" xfId="0" applyFont="1" applyFill="1" applyBorder="1" applyAlignment="1">
      <alignment horizontal="center"/>
    </xf>
    <xf numFmtId="0" fontId="19" fillId="24" borderId="30" xfId="0" applyFont="1" applyFill="1" applyBorder="1" applyAlignment="1">
      <alignment horizontal="center"/>
    </xf>
    <xf numFmtId="0" fontId="19" fillId="24" borderId="31" xfId="0" applyFont="1" applyFill="1" applyBorder="1" applyAlignment="1">
      <alignment horizontal="center"/>
    </xf>
    <xf numFmtId="0" fontId="1" fillId="0" borderId="0" xfId="0" applyFont="1" applyProtection="1">
      <protection hidden="1"/>
    </xf>
    <xf numFmtId="0" fontId="21" fillId="0" borderId="12" xfId="0" applyFont="1" applyBorder="1" applyProtection="1">
      <protection hidden="1"/>
    </xf>
    <xf numFmtId="0" fontId="21" fillId="0" borderId="18" xfId="0" applyFont="1" applyBorder="1" applyProtection="1">
      <protection hidden="1"/>
    </xf>
    <xf numFmtId="0" fontId="21" fillId="0" borderId="27" xfId="0" applyFont="1" applyBorder="1" applyProtection="1">
      <protection hidden="1"/>
    </xf>
    <xf numFmtId="0" fontId="1" fillId="0" borderId="13" xfId="0" applyFont="1" applyBorder="1" applyProtection="1">
      <protection hidden="1"/>
    </xf>
    <xf numFmtId="3" fontId="1" fillId="24" borderId="18" xfId="0" applyNumberFormat="1" applyFont="1" applyFill="1" applyBorder="1" applyProtection="1">
      <protection hidden="1"/>
    </xf>
    <xf numFmtId="0" fontId="19" fillId="24" borderId="32" xfId="0" applyFont="1" applyFill="1" applyBorder="1" applyAlignment="1">
      <alignment horizontal="center"/>
    </xf>
    <xf numFmtId="0" fontId="19" fillId="24" borderId="20" xfId="0" applyFont="1" applyFill="1" applyBorder="1" applyAlignment="1">
      <alignment horizontal="center"/>
    </xf>
    <xf numFmtId="0" fontId="19" fillId="24" borderId="16" xfId="0" applyFont="1" applyFill="1" applyBorder="1" applyAlignment="1">
      <alignment horizontal="center"/>
    </xf>
    <xf numFmtId="0" fontId="19" fillId="24" borderId="33" xfId="0" applyFont="1" applyFill="1" applyBorder="1" applyAlignment="1">
      <alignment horizontal="center"/>
    </xf>
    <xf numFmtId="0" fontId="19" fillId="24" borderId="29" xfId="0" applyFont="1" applyFill="1" applyBorder="1" applyAlignment="1">
      <alignment horizontal="center"/>
    </xf>
    <xf numFmtId="0" fontId="19" fillId="24" borderId="34" xfId="0" applyFont="1" applyFill="1" applyBorder="1" applyAlignment="1">
      <alignment horizontal="center"/>
    </xf>
    <xf numFmtId="0" fontId="19" fillId="24" borderId="35" xfId="0" applyFont="1" applyFill="1" applyBorder="1" applyAlignment="1">
      <alignment horizontal="center"/>
    </xf>
    <xf numFmtId="0" fontId="19" fillId="24" borderId="14" xfId="0" applyFont="1" applyFill="1" applyBorder="1" applyAlignment="1">
      <alignment horizontal="center"/>
    </xf>
    <xf numFmtId="0" fontId="19" fillId="24" borderId="11" xfId="0" applyFont="1" applyFill="1" applyBorder="1" applyAlignment="1">
      <alignment horizontal="center"/>
    </xf>
    <xf numFmtId="49" fontId="21" fillId="24" borderId="26" xfId="0" applyNumberFormat="1" applyFont="1" applyFill="1" applyBorder="1" applyAlignment="1" applyProtection="1">
      <alignment horizontal="center"/>
      <protection hidden="1"/>
    </xf>
    <xf numFmtId="3" fontId="0" fillId="0" borderId="0" xfId="0" applyNumberFormat="1"/>
    <xf numFmtId="49" fontId="41" fillId="28" borderId="24" xfId="0" applyNumberFormat="1" applyFont="1" applyFill="1" applyBorder="1" applyAlignment="1" applyProtection="1">
      <alignment horizontal="center"/>
      <protection hidden="1"/>
    </xf>
    <xf numFmtId="0" fontId="32" fillId="0" borderId="24" xfId="0" applyFont="1" applyBorder="1" applyAlignment="1" applyProtection="1">
      <alignment horizontal="center"/>
      <protection hidden="1"/>
    </xf>
    <xf numFmtId="0" fontId="1" fillId="0" borderId="0" xfId="0" applyFont="1"/>
    <xf numFmtId="1" fontId="42" fillId="0" borderId="24" xfId="34" applyNumberFormat="1" applyFont="1" applyBorder="1" applyAlignment="1">
      <alignment horizontal="center"/>
    </xf>
    <xf numFmtId="0" fontId="1" fillId="0" borderId="24" xfId="34" applyBorder="1"/>
    <xf numFmtId="2" fontId="21" fillId="28" borderId="24" xfId="0" applyNumberFormat="1" applyFont="1" applyFill="1" applyBorder="1" applyAlignment="1" applyProtection="1">
      <alignment horizontal="left" vertical="center"/>
      <protection hidden="1"/>
    </xf>
    <xf numFmtId="2" fontId="21" fillId="28" borderId="24" xfId="0" applyNumberFormat="1" applyFont="1" applyFill="1" applyBorder="1" applyAlignment="1" applyProtection="1">
      <alignment horizontal="center" vertical="center"/>
      <protection hidden="1"/>
    </xf>
    <xf numFmtId="1" fontId="21" fillId="28" borderId="24" xfId="0" applyNumberFormat="1" applyFont="1" applyFill="1" applyBorder="1" applyAlignment="1" applyProtection="1">
      <alignment horizontal="center" vertical="center"/>
      <protection hidden="1"/>
    </xf>
    <xf numFmtId="3" fontId="21" fillId="28" borderId="24" xfId="0" applyNumberFormat="1" applyFont="1" applyFill="1" applyBorder="1" applyAlignment="1" applyProtection="1">
      <alignment horizontal="center" vertical="center"/>
      <protection hidden="1"/>
    </xf>
    <xf numFmtId="167" fontId="21" fillId="28" borderId="24" xfId="0" applyNumberFormat="1" applyFont="1" applyFill="1" applyBorder="1" applyAlignment="1" applyProtection="1">
      <alignment horizontal="center" vertical="center"/>
      <protection hidden="1"/>
    </xf>
    <xf numFmtId="9" fontId="21" fillId="28" borderId="24" xfId="0" applyNumberFormat="1" applyFont="1" applyFill="1" applyBorder="1" applyAlignment="1" applyProtection="1">
      <alignment horizontal="center" vertical="center"/>
      <protection hidden="1"/>
    </xf>
    <xf numFmtId="0" fontId="43" fillId="28" borderId="24" xfId="0" applyFont="1" applyFill="1" applyBorder="1" applyAlignment="1" applyProtection="1">
      <alignment horizontal="left" vertical="top" wrapText="1"/>
      <protection hidden="1"/>
    </xf>
    <xf numFmtId="0" fontId="32" fillId="0" borderId="24" xfId="0" applyFont="1" applyBorder="1" applyAlignment="1" applyProtection="1">
      <alignment horizontal="center" vertical="center"/>
      <protection hidden="1"/>
    </xf>
    <xf numFmtId="2" fontId="32" fillId="0" borderId="24" xfId="0" applyNumberFormat="1" applyFont="1" applyBorder="1" applyAlignment="1" applyProtection="1">
      <alignment horizontal="center" vertical="center"/>
      <protection hidden="1"/>
    </xf>
    <xf numFmtId="14" fontId="32" fillId="0" borderId="24" xfId="0" applyNumberFormat="1" applyFont="1" applyBorder="1" applyAlignment="1" applyProtection="1">
      <alignment horizontal="center" vertical="center"/>
      <protection hidden="1"/>
    </xf>
    <xf numFmtId="0" fontId="32" fillId="0" borderId="24" xfId="0" applyFont="1" applyBorder="1" applyAlignment="1" applyProtection="1">
      <alignment horizontal="left" vertical="center"/>
      <protection hidden="1"/>
    </xf>
    <xf numFmtId="3" fontId="32" fillId="0" borderId="24" xfId="0" applyNumberFormat="1" applyFont="1" applyBorder="1" applyAlignment="1" applyProtection="1">
      <alignment horizontal="center" vertical="center"/>
      <protection hidden="1"/>
    </xf>
    <xf numFmtId="165" fontId="32" fillId="0" borderId="24" xfId="0" applyNumberFormat="1" applyFont="1" applyBorder="1" applyAlignment="1" applyProtection="1">
      <alignment horizontal="center" vertical="center"/>
      <protection hidden="1"/>
    </xf>
    <xf numFmtId="9" fontId="32" fillId="0" borderId="24" xfId="0" applyNumberFormat="1" applyFont="1" applyBorder="1" applyAlignment="1" applyProtection="1">
      <alignment horizontal="center" vertical="center"/>
      <protection hidden="1"/>
    </xf>
    <xf numFmtId="0" fontId="1" fillId="0" borderId="24" xfId="0" applyFont="1" applyBorder="1"/>
    <xf numFmtId="0" fontId="44" fillId="0" borderId="24" xfId="0" applyFont="1" applyBorder="1" applyAlignment="1">
      <alignment horizontal="center"/>
    </xf>
    <xf numFmtId="0" fontId="0" fillId="0" borderId="24" xfId="0" applyBorder="1"/>
    <xf numFmtId="0" fontId="43" fillId="28" borderId="24" xfId="0" applyFont="1" applyFill="1" applyBorder="1" applyAlignment="1">
      <alignment vertical="center" wrapText="1"/>
    </xf>
    <xf numFmtId="0" fontId="43" fillId="28" borderId="24" xfId="0" applyFont="1" applyFill="1" applyBorder="1"/>
    <xf numFmtId="0" fontId="45" fillId="0" borderId="24" xfId="0" applyFont="1" applyBorder="1" applyAlignment="1" applyProtection="1">
      <alignment vertical="center"/>
      <protection hidden="1"/>
    </xf>
    <xf numFmtId="0" fontId="24" fillId="0" borderId="22" xfId="34" applyFont="1" applyBorder="1" applyAlignment="1" applyProtection="1">
      <alignment horizontal="center" vertical="center" wrapText="1"/>
      <protection hidden="1"/>
    </xf>
    <xf numFmtId="0" fontId="24" fillId="0" borderId="23" xfId="34" applyFont="1" applyBorder="1" applyAlignment="1" applyProtection="1">
      <alignment horizontal="center" vertical="center"/>
      <protection hidden="1"/>
    </xf>
    <xf numFmtId="0" fontId="24" fillId="0" borderId="36" xfId="34" applyFont="1" applyBorder="1" applyAlignment="1" applyProtection="1">
      <alignment horizontal="center" vertical="center"/>
      <protection hidden="1"/>
    </xf>
    <xf numFmtId="0" fontId="23" fillId="0" borderId="0" xfId="34" applyFont="1" applyAlignment="1">
      <alignment horizontal="center"/>
    </xf>
    <xf numFmtId="0" fontId="1" fillId="0" borderId="12" xfId="0" applyFont="1" applyBorder="1" applyAlignment="1" applyProtection="1">
      <alignment horizontal="left" vertical="top" wrapText="1"/>
      <protection hidden="1"/>
    </xf>
    <xf numFmtId="0" fontId="27" fillId="0" borderId="20" xfId="0" applyFont="1" applyBorder="1" applyAlignment="1" applyProtection="1">
      <alignment horizontal="left" vertical="top" wrapText="1"/>
      <protection hidden="1"/>
    </xf>
    <xf numFmtId="0" fontId="27" fillId="0" borderId="16" xfId="0" applyFont="1" applyBorder="1" applyAlignment="1" applyProtection="1">
      <alignment horizontal="left" vertical="top" wrapText="1"/>
      <protection hidden="1"/>
    </xf>
    <xf numFmtId="0" fontId="27" fillId="0" borderId="17" xfId="0" applyFont="1" applyBorder="1" applyAlignment="1" applyProtection="1">
      <alignment horizontal="left" vertical="top" wrapText="1"/>
      <protection hidden="1"/>
    </xf>
    <xf numFmtId="0" fontId="27" fillId="0" borderId="0" xfId="0" applyFont="1" applyAlignment="1" applyProtection="1">
      <alignment horizontal="left" vertical="top" wrapText="1"/>
      <protection hidden="1"/>
    </xf>
    <xf numFmtId="0" fontId="27" fillId="0" borderId="10" xfId="0" applyFont="1" applyBorder="1" applyAlignment="1" applyProtection="1">
      <alignment horizontal="left" vertical="top" wrapText="1"/>
      <protection hidden="1"/>
    </xf>
    <xf numFmtId="0" fontId="27" fillId="0" borderId="18" xfId="0" applyFont="1" applyBorder="1" applyAlignment="1" applyProtection="1">
      <alignment horizontal="left" vertical="top" wrapText="1"/>
      <protection hidden="1"/>
    </xf>
    <xf numFmtId="0" fontId="27" fillId="0" borderId="14" xfId="0" applyFont="1" applyBorder="1" applyAlignment="1" applyProtection="1">
      <alignment horizontal="left" vertical="top" wrapText="1"/>
      <protection hidden="1"/>
    </xf>
    <xf numFmtId="0" fontId="27" fillId="0" borderId="11" xfId="0" applyFont="1" applyBorder="1" applyAlignment="1" applyProtection="1">
      <alignment horizontal="left" vertical="top" wrapText="1"/>
      <protection hidden="1"/>
    </xf>
    <xf numFmtId="0" fontId="38" fillId="0" borderId="0" xfId="0" applyFont="1" applyAlignment="1" applyProtection="1">
      <alignment horizontal="center"/>
      <protection hidden="1"/>
    </xf>
    <xf numFmtId="0" fontId="28" fillId="0" borderId="24" xfId="0" applyFont="1" applyBorder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14" fontId="32" fillId="24" borderId="22" xfId="0" applyNumberFormat="1" applyFont="1" applyFill="1" applyBorder="1" applyAlignment="1" applyProtection="1">
      <alignment horizontal="center"/>
      <protection hidden="1"/>
    </xf>
    <xf numFmtId="14" fontId="32" fillId="24" borderId="36" xfId="0" applyNumberFormat="1" applyFont="1" applyFill="1" applyBorder="1" applyAlignment="1" applyProtection="1">
      <alignment horizontal="center"/>
      <protection hidden="1"/>
    </xf>
    <xf numFmtId="0" fontId="1" fillId="24" borderId="18" xfId="0" applyFont="1" applyFill="1" applyBorder="1" applyAlignment="1" applyProtection="1">
      <alignment horizontal="center"/>
      <protection hidden="1"/>
    </xf>
    <xf numFmtId="0" fontId="1" fillId="24" borderId="11" xfId="0" applyFont="1" applyFill="1" applyBorder="1" applyAlignment="1" applyProtection="1">
      <alignment horizontal="center"/>
      <protection hidden="1"/>
    </xf>
    <xf numFmtId="0" fontId="31" fillId="24" borderId="22" xfId="0" applyFont="1" applyFill="1" applyBorder="1" applyProtection="1">
      <protection hidden="1"/>
    </xf>
    <xf numFmtId="0" fontId="31" fillId="24" borderId="23" xfId="0" applyFont="1" applyFill="1" applyBorder="1" applyProtection="1">
      <protection hidden="1"/>
    </xf>
    <xf numFmtId="0" fontId="31" fillId="24" borderId="36" xfId="0" applyFont="1" applyFill="1" applyBorder="1" applyProtection="1">
      <protection hidden="1"/>
    </xf>
    <xf numFmtId="0" fontId="1" fillId="24" borderId="22" xfId="0" applyFont="1" applyFill="1" applyBorder="1" applyAlignment="1" applyProtection="1">
      <alignment horizontal="center"/>
      <protection hidden="1"/>
    </xf>
    <xf numFmtId="0" fontId="1" fillId="24" borderId="23" xfId="0" applyFont="1" applyFill="1" applyBorder="1" applyAlignment="1" applyProtection="1">
      <alignment horizontal="center"/>
      <protection hidden="1"/>
    </xf>
    <xf numFmtId="0" fontId="1" fillId="24" borderId="36" xfId="0" applyFont="1" applyFill="1" applyBorder="1" applyAlignment="1" applyProtection="1">
      <alignment horizontal="center"/>
      <protection hidden="1"/>
    </xf>
    <xf numFmtId="0" fontId="34" fillId="0" borderId="12" xfId="0" applyFont="1" applyBorder="1" applyAlignment="1" applyProtection="1">
      <alignment vertical="center" textRotation="90" wrapText="1"/>
      <protection hidden="1"/>
    </xf>
    <xf numFmtId="0" fontId="34" fillId="0" borderId="38" xfId="0" applyFont="1" applyBorder="1" applyAlignment="1" applyProtection="1">
      <alignment vertical="center" textRotation="90" wrapText="1"/>
      <protection hidden="1"/>
    </xf>
    <xf numFmtId="0" fontId="34" fillId="0" borderId="37" xfId="0" applyFont="1" applyBorder="1" applyAlignment="1" applyProtection="1">
      <alignment vertical="center" textRotation="90" wrapText="1"/>
      <protection hidden="1"/>
    </xf>
    <xf numFmtId="0" fontId="27" fillId="0" borderId="22" xfId="0" applyFont="1" applyBorder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/>
      <protection hidden="1"/>
    </xf>
    <xf numFmtId="0" fontId="27" fillId="0" borderId="36" xfId="0" applyFont="1" applyBorder="1" applyAlignment="1" applyProtection="1">
      <alignment horizontal="center"/>
      <protection hidden="1"/>
    </xf>
    <xf numFmtId="0" fontId="34" fillId="0" borderId="18" xfId="0" applyFont="1" applyBorder="1" applyAlignment="1" applyProtection="1">
      <alignment vertical="center" textRotation="90" wrapText="1"/>
      <protection hidden="1"/>
    </xf>
    <xf numFmtId="0" fontId="28" fillId="0" borderId="24" xfId="0" applyFont="1" applyBorder="1" applyAlignment="1" applyProtection="1">
      <alignment horizontal="center" wrapText="1"/>
      <protection hidden="1"/>
    </xf>
    <xf numFmtId="0" fontId="45" fillId="0" borderId="24" xfId="0" applyFont="1" applyBorder="1" applyAlignment="1" applyProtection="1">
      <alignment horizontal="center" vertical="center"/>
      <protection hidden="1"/>
    </xf>
  </cellXfs>
  <cellStyles count="4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41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Millares" xfId="32" builtinId="3"/>
    <cellStyle name="Neutral" xfId="33" builtinId="28" customBuiltin="1"/>
    <cellStyle name="Normal" xfId="0" builtinId="0"/>
    <cellStyle name="Normal 2" xfId="34" xr:uid="{00000000-0005-0000-0000-000023000000}"/>
    <cellStyle name="Notas" xfId="35" builtinId="10" customBuiltin="1"/>
    <cellStyle name="Porcentaje" xfId="36" builtinId="5"/>
    <cellStyle name="Salida" xfId="37" builtinId="21" customBuiltin="1"/>
    <cellStyle name="Texto de advertencia" xfId="38" builtinId="11" customBuiltin="1"/>
    <cellStyle name="Texto explicativo" xfId="39" builtinId="53" customBuiltin="1"/>
    <cellStyle name="Título" xfId="40" builtinId="15" customBuiltin="1"/>
    <cellStyle name="Título 2" xfId="42" builtinId="17" customBuiltin="1"/>
    <cellStyle name="Título 3" xfId="43" builtinId="18" customBuiltin="1"/>
    <cellStyle name="Total" xfId="44" builtinId="25" customBuiltin="1"/>
  </cellStyles>
  <dxfs count="250">
    <dxf>
      <font>
        <b/>
        <i val="0"/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ont>
        <condense val="0"/>
        <extend val="0"/>
        <u/>
        <color indexed="1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3B-42CC-9D01-B39E0F3E87E9}"/>
            </c:ext>
          </c:extLst>
        </c:ser>
        <c:ser>
          <c:idx val="1"/>
          <c:order val="1"/>
          <c:tx>
            <c:strRef>
              <c:f>'L1'!$AE$4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3B-42CC-9D01-B39E0F3E87E9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3B-42CC-9D01-B39E0F3E87E9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3B-42CC-9D01-B39E0F3E87E9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3B-42CC-9D01-B39E0F3E87E9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3B-42CC-9D01-B39E0F3E87E9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'L1'!$AC$20:$AQ$20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'L1'!$AC$21:$AQ$21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C3B-42CC-9D01-B39E0F3E8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'L2'!$AC$5:$AC$17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9-4377-A66D-D610E75E7429}"/>
            </c:ext>
          </c:extLst>
        </c:ser>
        <c:ser>
          <c:idx val="1"/>
          <c:order val="1"/>
          <c:tx>
            <c:strRef>
              <c:f>'L2'!$AE$4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'L2'!$AE$5:$AE$17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E9-4377-A66D-D610E75E7429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'L2'!$AG$5:$AG$17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E9-4377-A66D-D610E75E7429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'L2'!$AI$5:$AI$17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E9-4377-A66D-D610E75E7429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'L2'!$AK$5:$AK$17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E9-4377-A66D-D610E75E7429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'L2'!$AM$5:$AM$17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E9-4377-A66D-D610E75E7429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'L2'!$AC$20:$AQ$20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'L2'!$AC$21:$AQ$21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E9-4377-A66D-D610E75E7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'L3'!$AC$5:$AC$17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'L3'!$AD$5:$AD$17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A0-4073-8DD6-48EF611EFA61}"/>
            </c:ext>
          </c:extLst>
        </c:ser>
        <c:ser>
          <c:idx val="1"/>
          <c:order val="1"/>
          <c:tx>
            <c:strRef>
              <c:f>'L3'!$AE$4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'L3'!$AE$5:$AE$17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'L3'!$AF$5:$AF$17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A0-4073-8DD6-48EF611EFA61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'L3'!$AG$5:$AG$17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'L3'!$AH$5:$AH$17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A0-4073-8DD6-48EF611EFA61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'L3'!$AI$5:$AI$17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'L3'!$AJ$5:$AJ$17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A0-4073-8DD6-48EF611EFA61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'L3'!$AK$5:$AK$17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'L3'!$AL$5:$AL$17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A0-4073-8DD6-48EF611EFA61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'L3'!$AM$5:$AM$17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'L3'!$AN$5:$AN$17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A0-4073-8DD6-48EF611EFA61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'L3'!$AC$20:$AQ$20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'L3'!$AC$21:$AQ$21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0A0-4073-8DD6-48EF611EF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'L4'!$AC$5:$AC$17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'L4'!$AD$5:$AD$17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CF-43D7-8A6D-5A2A29D17D5F}"/>
            </c:ext>
          </c:extLst>
        </c:ser>
        <c:ser>
          <c:idx val="1"/>
          <c:order val="1"/>
          <c:tx>
            <c:strRef>
              <c:f>'L4'!$AE$4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'L4'!$AE$5:$AE$17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'L4'!$AF$5:$AF$17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CF-43D7-8A6D-5A2A29D17D5F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'L4'!$AG$5:$AG$17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'L4'!$AH$5:$AH$17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CF-43D7-8A6D-5A2A29D17D5F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'L4'!$AI$5:$AI$17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'L4'!$AJ$5:$AJ$17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CF-43D7-8A6D-5A2A29D17D5F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'L4'!$AK$5:$AK$17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'L4'!$AL$5:$AL$17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CF-43D7-8A6D-5A2A29D17D5F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'L4'!$AM$5:$AM$17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'L4'!$AN$5:$AN$17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CF-43D7-8A6D-5A2A29D17D5F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'L4'!$AC$20:$AQ$20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'L4'!$AC$21:$AQ$21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7CF-43D7-8A6D-5A2A29D1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'L5'!$AC$5:$AC$17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'L5'!$AD$5:$AD$17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98-4729-8AEE-3530FA551D5E}"/>
            </c:ext>
          </c:extLst>
        </c:ser>
        <c:ser>
          <c:idx val="1"/>
          <c:order val="1"/>
          <c:tx>
            <c:strRef>
              <c:f>'L5'!$AE$4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'L5'!$AE$5:$AE$17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'L5'!$AF$5:$AF$17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98-4729-8AEE-3530FA551D5E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'L5'!$AG$5:$AG$17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'L5'!$AH$5:$AH$17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98-4729-8AEE-3530FA551D5E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'L5'!$AI$5:$AI$17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'L5'!$AJ$5:$AJ$17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98-4729-8AEE-3530FA551D5E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'L5'!$AK$5:$AK$17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'L5'!$AL$5:$AL$17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98-4729-8AEE-3530FA551D5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'L5'!$AM$5:$AM$17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'L5'!$AN$5:$AN$17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98-4729-8AEE-3530FA551D5E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'L5'!$AC$20:$AQ$20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'L5'!$AC$21:$AQ$21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98-4729-8AEE-3530FA551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'L6'!$AC$5:$AC$17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'L6'!$AD$5:$AD$17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C-4248-86C7-2CB839166F52}"/>
            </c:ext>
          </c:extLst>
        </c:ser>
        <c:ser>
          <c:idx val="1"/>
          <c:order val="1"/>
          <c:tx>
            <c:strRef>
              <c:f>'L6'!$AE$4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'L6'!$AE$5:$AE$17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'L6'!$AF$5:$AF$17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0C-4248-86C7-2CB839166F52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'L6'!$AG$5:$AG$17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'L6'!$AH$5:$AH$17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0C-4248-86C7-2CB839166F52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'L6'!$AI$5:$AI$17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'L6'!$AJ$5:$AJ$17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0C-4248-86C7-2CB839166F52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'L6'!$AK$5:$AK$17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'L6'!$AL$5:$AL$17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0C-4248-86C7-2CB839166F52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'L6'!$AM$5:$AM$17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'L6'!$AN$5:$AN$17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0C-4248-86C7-2CB839166F52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'L6'!$AC$20:$AQ$20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'L6'!$AC$21:$AQ$21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0C-4248-86C7-2CB839166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'L7'!$AC$5:$AC$17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'L7'!$AD$5:$AD$17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26-4DB1-971C-B52AF1071BEE}"/>
            </c:ext>
          </c:extLst>
        </c:ser>
        <c:ser>
          <c:idx val="1"/>
          <c:order val="1"/>
          <c:tx>
            <c:strRef>
              <c:f>'L7'!$AE$4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'L7'!$AE$5:$AE$17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'L7'!$AF$5:$AF$17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26-4DB1-971C-B52AF1071BEE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'L7'!$AG$5:$AG$17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'L7'!$AH$5:$AH$17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26-4DB1-971C-B52AF1071BEE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'L7'!$AI$5:$AI$17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'L7'!$AJ$5:$AJ$17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26-4DB1-971C-B52AF1071BEE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'L7'!$AK$5:$AK$17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'L7'!$AL$5:$AL$17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26-4DB1-971C-B52AF1071BE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'L7'!$AM$5:$AM$17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'L7'!$AN$5:$AN$17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26-4DB1-971C-B52AF1071BEE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'L7'!$AC$20:$AQ$20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'L7'!$AC$21:$AQ$21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B26-4DB1-971C-B52AF1071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'L8'!$AC$5:$AC$17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'L8'!$AD$5:$AD$17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A8-45E7-8FFE-D3D80F1AD752}"/>
            </c:ext>
          </c:extLst>
        </c:ser>
        <c:ser>
          <c:idx val="1"/>
          <c:order val="1"/>
          <c:tx>
            <c:strRef>
              <c:f>'L8'!$AE$4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'L8'!$AE$5:$AE$17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'L8'!$AF$5:$AF$17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A8-45E7-8FFE-D3D80F1AD752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'L8'!$AG$5:$AG$17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'L8'!$AH$5:$AH$17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A8-45E7-8FFE-D3D80F1AD752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'L8'!$AI$5:$AI$17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'L8'!$AJ$5:$AJ$17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A8-45E7-8FFE-D3D80F1AD752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'L8'!$AK$5:$AK$17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'L8'!$AL$5:$AL$17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A8-45E7-8FFE-D3D80F1AD752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'L8'!$AM$5:$AM$17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'L8'!$AN$5:$AN$17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A8-45E7-8FFE-D3D80F1AD752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'L8'!$AC$20:$AQ$20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'L8'!$AC$21:$AQ$21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A8-45E7-8FFE-D3D80F1AD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'L9'!$AC$5:$AC$17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'L9'!$AD$5:$AD$17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9A-4E69-8F39-8938A4A4BB39}"/>
            </c:ext>
          </c:extLst>
        </c:ser>
        <c:ser>
          <c:idx val="1"/>
          <c:order val="1"/>
          <c:tx>
            <c:strRef>
              <c:f>'L9'!$AE$4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'L9'!$AE$5:$AE$17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'L9'!$AF$5:$AF$17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9A-4E69-8F39-8938A4A4BB39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'L9'!$AG$5:$AG$17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'L9'!$AH$5:$AH$17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9A-4E69-8F39-8938A4A4BB39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'L9'!$AI$5:$AI$17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'L9'!$AJ$5:$AJ$17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9A-4E69-8F39-8938A4A4BB39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'L9'!$AK$5:$AK$17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'L9'!$AL$5:$AL$17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9A-4E69-8F39-8938A4A4BB39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'L9'!$AM$5:$AM$17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'L9'!$AN$5:$AN$17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9A-4E69-8F39-8938A4A4BB39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'L9'!$AC$20:$AQ$20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'L9'!$AC$21:$AQ$21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79A-4E69-8F39-8938A4A4B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'L10'!$AC$5:$AC$17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'L10'!$AD$5:$AD$17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2C-47BE-B23A-263E37FFBB6F}"/>
            </c:ext>
          </c:extLst>
        </c:ser>
        <c:ser>
          <c:idx val="1"/>
          <c:order val="1"/>
          <c:tx>
            <c:strRef>
              <c:f>'L10'!$AE$4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'L10'!$AE$5:$AE$17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'L10'!$AF$5:$AF$17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2C-47BE-B23A-263E37FFBB6F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'L10'!$AG$5:$AG$17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'L10'!$AH$5:$AH$17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2C-47BE-B23A-263E37FFBB6F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'L10'!$AI$5:$AI$17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'L10'!$AJ$5:$AJ$17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2C-47BE-B23A-263E37FFBB6F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'L10'!$AK$5:$AK$17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'L10'!$AL$5:$AL$17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2C-47BE-B23A-263E37FFBB6F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'L10'!$AM$5:$AM$17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'L10'!$AN$5:$AN$17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2C-47BE-B23A-263E37FFBB6F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'L10'!$AC$20:$AQ$20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'L10'!$AC$21:$AQ$21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82C-47BE-B23A-263E37FFB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'L11'!$AC$5:$AC$17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'L11'!$AD$5:$AD$17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6C-45F5-A237-4377B18EEB0F}"/>
            </c:ext>
          </c:extLst>
        </c:ser>
        <c:ser>
          <c:idx val="1"/>
          <c:order val="1"/>
          <c:tx>
            <c:strRef>
              <c:f>'L11'!$AE$4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'L11'!$AE$5:$AE$17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'L11'!$AF$5:$AF$17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6C-45F5-A237-4377B18EEB0F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'L11'!$AG$5:$AG$17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'L11'!$AH$5:$AH$17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6C-45F5-A237-4377B18EEB0F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'L11'!$AI$5:$AI$17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'L11'!$AJ$5:$AJ$17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6C-45F5-A237-4377B18EEB0F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'L11'!$AK$5:$AK$17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'L11'!$AL$5:$AL$17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6C-45F5-A237-4377B18EEB0F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'L11'!$AM$5:$AM$17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'L11'!$AN$5:$AN$17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6C-45F5-A237-4377B18EEB0F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'L11'!$AC$20:$AQ$20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'L11'!$AC$21:$AQ$21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A6C-45F5-A237-4377B18EE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'L12'!$AC$5:$AC$17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'L12'!$AD$5:$AD$17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A-418C-A0BD-656876A0814F}"/>
            </c:ext>
          </c:extLst>
        </c:ser>
        <c:ser>
          <c:idx val="1"/>
          <c:order val="1"/>
          <c:tx>
            <c:strRef>
              <c:f>'L12'!$AE$4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'L12'!$AE$5:$AE$17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'L12'!$AF$5:$AF$17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3A-418C-A0BD-656876A0814F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'L12'!$AG$5:$AG$17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'L12'!$AH$5:$AH$17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3A-418C-A0BD-656876A0814F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'L12'!$AI$5:$AI$17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'L12'!$AJ$5:$AJ$17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3A-418C-A0BD-656876A0814F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'L12'!$AK$5:$AK$17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'L12'!$AL$5:$AL$17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3A-418C-A0BD-656876A0814F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'L12'!$AM$5:$AM$17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'L12'!$AN$5:$AN$17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3A-418C-A0BD-656876A0814F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'L12'!$AC$20:$AQ$20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'L12'!$AC$21:$AQ$21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3A-418C-A0BD-656876A08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'L13'!$AC$5:$AC$17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'L13'!$AD$5:$AD$17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03-4672-8BDA-0DA647DDA094}"/>
            </c:ext>
          </c:extLst>
        </c:ser>
        <c:ser>
          <c:idx val="1"/>
          <c:order val="1"/>
          <c:tx>
            <c:strRef>
              <c:f>'L13'!$AE$4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'L13'!$AE$5:$AE$17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'L13'!$AF$5:$AF$17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03-4672-8BDA-0DA647DDA094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'L13'!$AG$5:$AG$17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'L13'!$AH$5:$AH$17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03-4672-8BDA-0DA647DDA094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'L13'!$AI$5:$AI$17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'L13'!$AJ$5:$AJ$17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03-4672-8BDA-0DA647DDA094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'L13'!$AK$5:$AK$17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'L13'!$AL$5:$AL$17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03-4672-8BDA-0DA647DDA094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'L13'!$AM$5:$AM$17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'L13'!$AN$5:$AN$17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03-4672-8BDA-0DA647DDA094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'L13'!$AC$20:$AQ$20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'L13'!$AC$21:$AQ$21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203-4672-8BDA-0DA647DDA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'L14'!$AC$5:$AC$17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'L14'!$AD$5:$AD$17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B-4353-9FD8-B0341A134BE1}"/>
            </c:ext>
          </c:extLst>
        </c:ser>
        <c:ser>
          <c:idx val="1"/>
          <c:order val="1"/>
          <c:tx>
            <c:strRef>
              <c:f>'L14'!$AE$4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'L14'!$AE$5:$AE$17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'L14'!$AF$5:$AF$17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CB-4353-9FD8-B0341A134BE1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'L14'!$AG$5:$AG$17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'L14'!$AH$5:$AH$17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CB-4353-9FD8-B0341A134BE1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'L14'!$AI$5:$AI$17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'L14'!$AJ$5:$AJ$17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CB-4353-9FD8-B0341A134BE1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'L14'!$AK$5:$AK$17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'L14'!$AL$5:$AL$17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CB-4353-9FD8-B0341A134BE1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'L14'!$AM$5:$AM$17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'L14'!$AN$5:$AN$17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CB-4353-9FD8-B0341A134BE1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'L14'!$AC$20:$AQ$20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'L14'!$AC$21:$AQ$21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1CB-4353-9FD8-B0341A13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'L15'!$AC$5:$AC$17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'L15'!$AD$5:$AD$17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C1-49E8-8EDE-2229A13F21E3}"/>
            </c:ext>
          </c:extLst>
        </c:ser>
        <c:ser>
          <c:idx val="1"/>
          <c:order val="1"/>
          <c:tx>
            <c:strRef>
              <c:f>'L15'!$AE$4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'L15'!$AE$5:$AE$17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'L15'!$AF$5:$AF$17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C1-49E8-8EDE-2229A13F21E3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'L15'!$AG$5:$AG$17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'L15'!$AH$5:$AH$17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C1-49E8-8EDE-2229A13F21E3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'L15'!$AI$5:$AI$17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'L15'!$AJ$5:$AJ$17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C1-49E8-8EDE-2229A13F21E3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'L15'!$AK$5:$AK$17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'L15'!$AL$5:$AL$17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C1-49E8-8EDE-2229A13F21E3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'L15'!$AM$5:$AM$17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'L15'!$AN$5:$AN$17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C1-49E8-8EDE-2229A13F21E3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'L15'!$AC$20:$AQ$20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'L15'!$AC$21:$AQ$21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DC1-49E8-8EDE-2229A13F2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'L16'!$AC$5:$AC$17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'L16'!$AD$5:$AD$17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8D-43B4-8B8A-862118BC5C98}"/>
            </c:ext>
          </c:extLst>
        </c:ser>
        <c:ser>
          <c:idx val="1"/>
          <c:order val="1"/>
          <c:tx>
            <c:strRef>
              <c:f>'L16'!$AE$4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'L16'!$AE$5:$AE$17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'L16'!$AF$5:$AF$17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8D-43B4-8B8A-862118BC5C98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'L16'!$AG$5:$AG$17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'L16'!$AH$5:$AH$17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8D-43B4-8B8A-862118BC5C98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'L16'!$AI$5:$AI$17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'L16'!$AJ$5:$AJ$17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8D-43B4-8B8A-862118BC5C98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'L16'!$AK$5:$AK$17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'L16'!$AL$5:$AL$17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8D-43B4-8B8A-862118BC5C9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'L16'!$AM$5:$AM$17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'L16'!$AN$5:$AN$17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8D-43B4-8B8A-862118BC5C98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'L16'!$AC$20:$AQ$20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'L16'!$AC$21:$AQ$21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8D-43B4-8B8A-862118BC5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'L17'!$AC$5:$AC$17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'L17'!$AD$5:$AD$17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68-49C1-9BA1-44CE430339DB}"/>
            </c:ext>
          </c:extLst>
        </c:ser>
        <c:ser>
          <c:idx val="1"/>
          <c:order val="1"/>
          <c:tx>
            <c:strRef>
              <c:f>'L17'!$AE$4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'L17'!$AE$5:$AE$17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'L17'!$AF$5:$AF$17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68-49C1-9BA1-44CE430339DB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'L17'!$AG$5:$AG$17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'L17'!$AH$5:$AH$17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68-49C1-9BA1-44CE430339DB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'L17'!$AI$5:$AI$17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'L17'!$AJ$5:$AJ$17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68-49C1-9BA1-44CE430339DB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'L17'!$AK$5:$AK$17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'L17'!$AL$5:$AL$17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68-49C1-9BA1-44CE430339DB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'L17'!$AM$5:$AM$17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'L17'!$AN$5:$AN$17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68-49C1-9BA1-44CE430339DB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'L17'!$AC$20:$AQ$20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'L17'!$AC$21:$AQ$21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A68-49C1-9BA1-44CE43033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'L18'!$AC$5:$AC$17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'L18'!$AD$5:$AD$17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18-4566-AC9F-A09DF8D63A75}"/>
            </c:ext>
          </c:extLst>
        </c:ser>
        <c:ser>
          <c:idx val="1"/>
          <c:order val="1"/>
          <c:tx>
            <c:strRef>
              <c:f>'L18'!$AE$4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'L18'!$AE$5:$AE$17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'L18'!$AF$5:$AF$17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18-4566-AC9F-A09DF8D63A75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'L18'!$AG$5:$AG$17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'L18'!$AH$5:$AH$17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18-4566-AC9F-A09DF8D63A75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'L18'!$AI$5:$AI$17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'L18'!$AJ$5:$AJ$17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18-4566-AC9F-A09DF8D63A75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'L18'!$AK$5:$AK$17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'L18'!$AL$5:$AL$17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18-4566-AC9F-A09DF8D63A75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'L18'!$AM$5:$AM$17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'L18'!$AN$5:$AN$17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18-4566-AC9F-A09DF8D63A75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'L18'!$AC$20:$AQ$20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'L18'!$AC$21:$AQ$21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18-4566-AC9F-A09DF8D63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'L19'!$AC$5:$AC$17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'L19'!$AD$5:$AD$17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9-498C-8B0C-D83B0158D4E4}"/>
            </c:ext>
          </c:extLst>
        </c:ser>
        <c:ser>
          <c:idx val="1"/>
          <c:order val="1"/>
          <c:tx>
            <c:strRef>
              <c:f>'L19'!$AE$4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'L19'!$AE$5:$AE$17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'L19'!$AF$5:$AF$17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9-498C-8B0C-D83B0158D4E4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'L19'!$AG$5:$AG$17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'L19'!$AH$5:$AH$17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09-498C-8B0C-D83B0158D4E4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'L19'!$AI$5:$AI$17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'L19'!$AJ$5:$AJ$17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09-498C-8B0C-D83B0158D4E4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'L19'!$AK$5:$AK$17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'L19'!$AL$5:$AL$17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09-498C-8B0C-D83B0158D4E4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'L19'!$AM$5:$AM$17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'L19'!$AN$5:$AN$17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09-498C-8B0C-D83B0158D4E4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'L19'!$AC$20:$AQ$20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'L19'!$AC$21:$AQ$21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09-498C-8B0C-D83B0158D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06024096385538E-2"/>
          <c:y val="1.7241379310344827E-2"/>
          <c:w val="0.92771084337349519"/>
          <c:h val="0.81724137931034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'L20'!$AC$5:$AC$17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'L20'!$AD$5:$AD$17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1-4A2F-AAFA-21A854914088}"/>
            </c:ext>
          </c:extLst>
        </c:ser>
        <c:ser>
          <c:idx val="1"/>
          <c:order val="1"/>
          <c:tx>
            <c:strRef>
              <c:f>'L20'!$AE$4</c:f>
              <c:strCache>
                <c:ptCount val="1"/>
                <c:pt idx="0">
                  <c:v>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'L20'!$AE$5:$AE$17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'L20'!$AF$5:$AF$17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51-4A2F-AAFA-21A854914088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'L20'!$AG$5:$AG$17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'L20'!$AH$5:$AH$17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51-4A2F-AAFA-21A854914088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'L20'!$AI$5:$AI$17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'L20'!$AJ$5:$AJ$17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51-4A2F-AAFA-21A854914088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'L20'!$AK$5:$AK$17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'L20'!$AL$5:$AL$17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51-4A2F-AAFA-21A85491408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'L20'!$AM$5:$AM$17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'L20'!$AN$5:$AN$17</c:f>
              <c:numCache>
                <c:formatCode>General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51-4A2F-AAFA-21A854914088}"/>
            </c:ext>
          </c:extLst>
        </c:ser>
        <c:ser>
          <c:idx val="12"/>
          <c:order val="6"/>
          <c:tx>
            <c:v>Ideal</c:v>
          </c:tx>
          <c:spPr>
            <a:ln w="28575">
              <a:noFill/>
            </a:ln>
          </c:spPr>
          <c:marker>
            <c:symbol val="star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'L20'!$AC$20:$AQ$20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'L20'!$AC$21:$AQ$21</c:f>
              <c:numCache>
                <c:formatCode>General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51-4A2F-AAFA-21A854914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88840"/>
        <c:axId val="421093152"/>
      </c:scatterChart>
      <c:valAx>
        <c:axId val="42108884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distancia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093152"/>
        <c:crosses val="autoZero"/>
        <c:crossBetween val="midCat"/>
      </c:valAx>
      <c:valAx>
        <c:axId val="421093152"/>
        <c:scaling>
          <c:orientation val="minMax"/>
        </c:scaling>
        <c:delete val="1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421088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11" r="0.75000000000000611" t="1" header="0" footer="0"/>
    <c:pageSetup paperSize="9" orientation="landscape" horizontalDpi="300" verticalDpi="3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s-ES"/>
              <a:t>Coeficiente de Variación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Resumen!$N$3:$N$3</c:f>
              <c:strCache>
                <c:ptCount val="1"/>
                <c:pt idx="0">
                  <c:v>CV
(%)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E1-45B5-BB7C-7F8FCFA5F6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E1-45B5-BB7C-7F8FCFA5F6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CE1-45B5-BB7C-7F8FCFA5F6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CE1-45B5-BB7C-7F8FCFA5F68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CE1-45B5-BB7C-7F8FCFA5F6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CE1-45B5-BB7C-7F8FCFA5F68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661-4F4A-9F96-8499025C249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CE1-45B5-BB7C-7F8FCFA5F68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CE1-45B5-BB7C-7F8FCFA5F68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CE1-45B5-BB7C-7F8FCFA5F68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CE1-45B5-BB7C-7F8FCFA5F68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CE1-45B5-BB7C-7F8FCFA5F68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CE1-45B5-BB7C-7F8FCFA5F68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CE1-45B5-BB7C-7F8FCFA5F683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CE1-45B5-BB7C-7F8FCFA5F683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CE1-45B5-BB7C-7F8FCFA5F68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3CE1-45B5-BB7C-7F8FCFA5F68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CE1-45B5-BB7C-7F8FCFA5F68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3CE1-45B5-BB7C-7F8FCFA5F68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3CE1-45B5-BB7C-7F8FCFA5F683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3CE1-45B5-BB7C-7F8FCFA5F6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Resumen!$B$4:$C$24</c:f>
              <c:strCache>
                <c:ptCount val="21"/>
                <c:pt idx="20">
                  <c:v>Prom.</c:v>
                </c:pt>
              </c:strCache>
            </c:strRef>
          </c:cat>
          <c:val>
            <c:numRef>
              <c:f>Resumen!$N$4:$N$24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4-43D6-9A4A-4642DBB765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90"/>
        <c:axId val="905755024"/>
        <c:axId val="905748360"/>
      </c:barChart>
      <c:catAx>
        <c:axId val="90575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05748360"/>
        <c:crosses val="autoZero"/>
        <c:auto val="1"/>
        <c:lblAlgn val="ctr"/>
        <c:lblOffset val="100"/>
        <c:tickLblSkip val="1"/>
        <c:noMultiLvlLbl val="0"/>
      </c:catAx>
      <c:valAx>
        <c:axId val="905748360"/>
        <c:scaling>
          <c:orientation val="minMax"/>
          <c:max val="0.60000000000000064"/>
          <c:min val="0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0575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en-US"/>
    </a:p>
  </c:txPr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Pl logradas (pl/ha)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Resumen!$J$3</c:f>
              <c:strCache>
                <c:ptCount val="1"/>
                <c:pt idx="0">
                  <c:v>Pl logradas
pl/ha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21-475B-BCD9-5584F8F3F69B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21-475B-BCD9-5584F8F3F69B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C21-475B-BCD9-5584F8F3F69B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C21-475B-BCD9-5584F8F3F69B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C21-475B-BCD9-5584F8F3F69B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C21-475B-BCD9-5584F8F3F69B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C21-475B-BCD9-5584F8F3F69B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66A-4487-8AF4-7F45CE509CD8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66A-4487-8AF4-7F45CE509CD8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66A-4487-8AF4-7F45CE509CD8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66A-4487-8AF4-7F45CE509CD8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66A-4487-8AF4-7F45CE509CD8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66A-4487-8AF4-7F45CE509CD8}"/>
              </c:ext>
            </c:extLst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66A-4487-8AF4-7F45CE509CD8}"/>
              </c:ext>
            </c:extLst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66A-4487-8AF4-7F45CE509CD8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66A-4487-8AF4-7F45CE509CD8}"/>
              </c:ext>
            </c:extLst>
          </c:dPt>
          <c:dPt>
            <c:idx val="16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866A-4487-8AF4-7F45CE509CD8}"/>
              </c:ext>
            </c:extLst>
          </c:dPt>
          <c:dPt>
            <c:idx val="17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866A-4487-8AF4-7F45CE509CD8}"/>
              </c:ext>
            </c:extLst>
          </c:dPt>
          <c:dPt>
            <c:idx val="18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866A-4487-8AF4-7F45CE509CD8}"/>
              </c:ext>
            </c:extLst>
          </c:dPt>
          <c:dPt>
            <c:idx val="19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866A-4487-8AF4-7F45CE509CD8}"/>
              </c:ext>
            </c:extLst>
          </c:dPt>
          <c:dPt>
            <c:idx val="20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866A-4487-8AF4-7F45CE509CD8}"/>
              </c:ext>
            </c:extLst>
          </c:dPt>
          <c:cat>
            <c:strRef>
              <c:f>Resumen!$B$4:$C$24</c:f>
              <c:strCache>
                <c:ptCount val="21"/>
                <c:pt idx="20">
                  <c:v>Prom.</c:v>
                </c:pt>
              </c:strCache>
            </c:strRef>
          </c:cat>
          <c:val>
            <c:numRef>
              <c:f>Resumen!$J$4:$J$24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C21-475B-BCD9-5584F8F3F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05744048"/>
        <c:axId val="905753848"/>
      </c:barChart>
      <c:catAx>
        <c:axId val="90574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753848"/>
        <c:crosses val="autoZero"/>
        <c:auto val="1"/>
        <c:lblAlgn val="ctr"/>
        <c:lblOffset val="100"/>
        <c:tickLblSkip val="1"/>
        <c:noMultiLvlLbl val="0"/>
      </c:catAx>
      <c:valAx>
        <c:axId val="905753848"/>
        <c:scaling>
          <c:orientation val="minMax"/>
          <c:max val="8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Pl/ha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74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Distancia Promedio entre plantas y su desvío estandar</a:t>
            </a:r>
          </a:p>
        </c:rich>
      </c:tx>
      <c:layout>
        <c:manualLayout>
          <c:xMode val="edge"/>
          <c:yMode val="edge"/>
          <c:x val="0.1559603107044055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9631038041250855E-2"/>
          <c:y val="0.17608392509218559"/>
          <c:w val="0.87403742395755291"/>
          <c:h val="0.58169130186639018"/>
        </c:manualLayout>
      </c:layout>
      <c:lineChart>
        <c:grouping val="standard"/>
        <c:varyColors val="0"/>
        <c:ser>
          <c:idx val="0"/>
          <c:order val="0"/>
          <c:tx>
            <c:strRef>
              <c:f>Resumen!$L$3</c:f>
              <c:strCache>
                <c:ptCount val="1"/>
                <c:pt idx="0">
                  <c:v>DP
(cm)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4F81BD">
                  <a:lumMod val="50000"/>
                </a:srgbClr>
              </a:solidFill>
            </c:spPr>
          </c:marker>
          <c:errBars>
            <c:errDir val="y"/>
            <c:errBarType val="both"/>
            <c:errValType val="cust"/>
            <c:noEndCap val="0"/>
            <c:plus>
              <c:numRef>
                <c:f>Resumen!$M$4:$M$24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Resumen!$M$4:$M$24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</c:errBars>
          <c:cat>
            <c:strRef>
              <c:f>Resumen!$B$4:$C$24</c:f>
              <c:strCache>
                <c:ptCount val="21"/>
                <c:pt idx="20">
                  <c:v>Prom.</c:v>
                </c:pt>
              </c:strCache>
            </c:strRef>
          </c:cat>
          <c:val>
            <c:numRef>
              <c:f>Resumen!$L$4:$L$24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#,##0.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C-4EDF-9425-DE4369834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905751104"/>
        <c:axId val="905746792"/>
      </c:lineChart>
      <c:catAx>
        <c:axId val="90575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746792"/>
        <c:crosses val="autoZero"/>
        <c:auto val="1"/>
        <c:lblAlgn val="ctr"/>
        <c:lblOffset val="100"/>
        <c:tickLblSkip val="1"/>
        <c:noMultiLvlLbl val="0"/>
      </c:catAx>
      <c:valAx>
        <c:axId val="905746792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cm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75110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17</xdr:row>
      <xdr:rowOff>19082</xdr:rowOff>
    </xdr:from>
    <xdr:to>
      <xdr:col>7</xdr:col>
      <xdr:colOff>400050</xdr:colOff>
      <xdr:row>40</xdr:row>
      <xdr:rowOff>145103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50" y="3771932"/>
          <a:ext cx="4572000" cy="3774096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371474</xdr:colOff>
      <xdr:row>0</xdr:row>
      <xdr:rowOff>0</xdr:rowOff>
    </xdr:from>
    <xdr:to>
      <xdr:col>6</xdr:col>
      <xdr:colOff>332612</xdr:colOff>
      <xdr:row>14</xdr:row>
      <xdr:rowOff>100013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51691C9-746C-8B5B-651A-545E6FE3C5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02" b="15660"/>
        <a:stretch>
          <a:fillRect/>
        </a:stretch>
      </xdr:blipFill>
      <xdr:spPr bwMode="auto">
        <a:xfrm>
          <a:off x="2000249" y="0"/>
          <a:ext cx="3218688" cy="2366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210" name="Chart 3">
          <a:extLst>
            <a:ext uri="{FF2B5EF4-FFF2-40B4-BE49-F238E27FC236}">
              <a16:creationId xmlns:a16="http://schemas.microsoft.com/office/drawing/2014/main" id="{00000000-0008-0000-0100-0000A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F43ED30F-1507-4514-8095-AC8669AE7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48DE721-D01F-4003-BF1D-9E29E038C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FF8BAB78-F117-4955-B7F3-93CF9CC47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0D7FD1E-1E01-490E-8E41-08A1FF1D9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4A76FFDD-5846-4839-8C06-6E08E1D69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80DFD21-E2BD-47D4-8682-E2D0A5762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64AB2508-3C65-4C49-9FDF-4B99B3903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6A305DE-45E5-4A30-9F16-2951CCA4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CFC2047E-85AA-41F7-88FF-A8F256F0E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6A5337F-01EF-4C2F-8806-F09CC0B77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3AD6C8B5-26F8-4325-A06A-A88FE372C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A326B0A0-4948-4548-9570-1320499FC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36210C7E-E481-4F3B-91AA-8CA689F90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F1305677-74BB-4012-BFDB-D4DB8F4D8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A83DDC2C-0ED0-4D27-9E39-6A0AD2938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8CE6CAAF-22C9-4C62-8BB8-24B81B471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C3410B16-FEA4-44E7-BCD7-4D526AA4F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A4E73027-27A3-4FF6-B3DC-0C5202219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428625</xdr:colOff>
      <xdr:row>36</xdr:row>
      <xdr:rowOff>142875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AF48C7FD-83A2-4A5D-BE49-B9B9AA994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142875</xdr:rowOff>
    </xdr:from>
    <xdr:to>
      <xdr:col>12</xdr:col>
      <xdr:colOff>742033</xdr:colOff>
      <xdr:row>61</xdr:row>
      <xdr:rowOff>10584</xdr:rowOff>
    </xdr:to>
    <xdr:graphicFrame macro="">
      <xdr:nvGraphicFramePr>
        <xdr:cNvPr id="34011" name="1 Gráfico">
          <a:extLst>
            <a:ext uri="{FF2B5EF4-FFF2-40B4-BE49-F238E27FC236}">
              <a16:creationId xmlns:a16="http://schemas.microsoft.com/office/drawing/2014/main" id="{00000000-0008-0000-1600-0000DB8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12</xdr:col>
      <xdr:colOff>740833</xdr:colOff>
      <xdr:row>18</xdr:row>
      <xdr:rowOff>85725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33800B11-F5A7-49CA-94EB-F1692C2BF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740833</xdr:colOff>
      <xdr:row>40</xdr:row>
      <xdr:rowOff>123825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9271D9C9-EAB7-4F35-882D-43BCB30E7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100-000000000000}" autoFormatId="16" applyNumberFormats="0" applyBorderFormats="0" applyFontFormats="0" applyPatternFormats="0" applyAlignmentFormats="0" applyWidthHeightFormats="0">
  <queryTableRefresh nextId="12">
    <queryTableFields count="11">
      <queryTableField id="1" name="EMPRESA" tableColumnId="1"/>
      <queryTableField id="2" name="Campo" tableColumnId="2"/>
      <queryTableField id="3" name="Lote" tableColumnId="3"/>
      <queryTableField id="4" name="Cultivo" tableColumnId="4"/>
      <queryTableField id="5" name="Antecesor" tableColumnId="5"/>
      <queryTableField id="6" name="Espaciamiento (cm)" tableColumnId="6"/>
      <queryTableField id="7" name="Semillero" tableColumnId="7"/>
      <queryTableField id="8" name="Genética" tableColumnId="8"/>
      <queryTableField id="9" name="Calibre" tableColumnId="9"/>
      <queryTableField id="10" name="Densidad siembra Recomendada" tableColumnId="10"/>
      <queryTableField id="11" name="Observacion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tes_App" displayName="Lotes_App" ref="A1:K183" tableType="queryTable" totalsRowShown="0">
  <autoFilter ref="A1:K183" xr:uid="{00000000-0009-0000-0100-000001000000}"/>
  <tableColumns count="11">
    <tableColumn id="1" xr3:uid="{00000000-0010-0000-0000-000001000000}" uniqueName="1" name="EMPRESA" queryTableFieldId="1" dataDxfId="249"/>
    <tableColumn id="2" xr3:uid="{00000000-0010-0000-0000-000002000000}" uniqueName="2" name="Campo" queryTableFieldId="2" dataDxfId="248"/>
    <tableColumn id="3" xr3:uid="{00000000-0010-0000-0000-000003000000}" uniqueName="3" name="Lote" queryTableFieldId="3" dataDxfId="247"/>
    <tableColumn id="4" xr3:uid="{00000000-0010-0000-0000-000004000000}" uniqueName="4" name="Cultivo" queryTableFieldId="4" dataDxfId="246"/>
    <tableColumn id="5" xr3:uid="{00000000-0010-0000-0000-000005000000}" uniqueName="5" name="Antecesor" queryTableFieldId="5" dataDxfId="245"/>
    <tableColumn id="6" xr3:uid="{00000000-0010-0000-0000-000006000000}" uniqueName="6" name="Espaciamiento (cm)" queryTableFieldId="6"/>
    <tableColumn id="7" xr3:uid="{00000000-0010-0000-0000-000007000000}" uniqueName="7" name="Semillero" queryTableFieldId="7" dataDxfId="244"/>
    <tableColumn id="8" xr3:uid="{00000000-0010-0000-0000-000008000000}" uniqueName="8" name="Genética" queryTableFieldId="8" dataDxfId="243"/>
    <tableColumn id="9" xr3:uid="{00000000-0010-0000-0000-000009000000}" uniqueName="9" name="Calibre" queryTableFieldId="9" dataDxfId="242"/>
    <tableColumn id="10" xr3:uid="{00000000-0010-0000-0000-00000A000000}" uniqueName="10" name="Densidad siembra Recomendada" queryTableFieldId="10"/>
    <tableColumn id="11" xr3:uid="{00000000-0010-0000-0000-00000B000000}" uniqueName="11" name="Observaciones" queryTableFieldId="11" dataDxfId="2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P47"/>
  <sheetViews>
    <sheetView showGridLines="0" showRowColHeaders="0" zoomScaleNormal="100" workbookViewId="0"/>
  </sheetViews>
  <sheetFormatPr baseColWidth="10" defaultColWidth="0" defaultRowHeight="12.75" zeroHeight="1" x14ac:dyDescent="0.35"/>
  <cols>
    <col min="1" max="9" width="11.3984375" style="4" customWidth="1"/>
    <col min="10" max="16384" width="11.3984375" style="4" hidden="1"/>
  </cols>
  <sheetData>
    <row r="1" spans="2:68" x14ac:dyDescent="0.35"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</row>
    <row r="2" spans="2:68" x14ac:dyDescent="0.35"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</row>
    <row r="3" spans="2:68" x14ac:dyDescent="0.35">
      <c r="C3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</row>
    <row r="4" spans="2:68" x14ac:dyDescent="0.35"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</row>
    <row r="5" spans="2:68" x14ac:dyDescent="0.35"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</row>
    <row r="6" spans="2:68" x14ac:dyDescent="0.35"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</row>
    <row r="7" spans="2:68" x14ac:dyDescent="0.35"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</row>
    <row r="8" spans="2:68" x14ac:dyDescent="0.35"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</row>
    <row r="9" spans="2:68" x14ac:dyDescent="0.35"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</row>
    <row r="10" spans="2:68" x14ac:dyDescent="0.35"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</row>
    <row r="11" spans="2:68" x14ac:dyDescent="0.35"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</row>
    <row r="12" spans="2:68" x14ac:dyDescent="0.35"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</row>
    <row r="13" spans="2:68" x14ac:dyDescent="0.35"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</row>
    <row r="14" spans="2:68" x14ac:dyDescent="0.35">
      <c r="B14"/>
      <c r="C14"/>
      <c r="D14"/>
      <c r="E14"/>
      <c r="F14"/>
      <c r="G14"/>
      <c r="H14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</row>
    <row r="15" spans="2:68" x14ac:dyDescent="0.35"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</row>
    <row r="16" spans="2:68" x14ac:dyDescent="0.35"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</row>
    <row r="17" spans="2:68" ht="60" customHeight="1" x14ac:dyDescent="0.35">
      <c r="B17" s="111" t="s">
        <v>68</v>
      </c>
      <c r="C17" s="112"/>
      <c r="D17" s="112"/>
      <c r="E17" s="112"/>
      <c r="F17" s="112"/>
      <c r="G17" s="112"/>
      <c r="H17" s="113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</row>
    <row r="18" spans="2:68" x14ac:dyDescent="0.35"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</row>
    <row r="19" spans="2:68" x14ac:dyDescent="0.35"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</row>
    <row r="20" spans="2:68" x14ac:dyDescent="0.35"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</row>
    <row r="21" spans="2:68" x14ac:dyDescent="0.35"/>
    <row r="22" spans="2:68" x14ac:dyDescent="0.35"/>
    <row r="23" spans="2:68" x14ac:dyDescent="0.35"/>
    <row r="24" spans="2:68" x14ac:dyDescent="0.35"/>
    <row r="25" spans="2:68" x14ac:dyDescent="0.35"/>
    <row r="26" spans="2:68" x14ac:dyDescent="0.35"/>
    <row r="27" spans="2:68" x14ac:dyDescent="0.35"/>
    <row r="28" spans="2:68" x14ac:dyDescent="0.35"/>
    <row r="29" spans="2:68" x14ac:dyDescent="0.35"/>
    <row r="30" spans="2:68" x14ac:dyDescent="0.35"/>
    <row r="31" spans="2:68" x14ac:dyDescent="0.35"/>
    <row r="32" spans="2:68" x14ac:dyDescent="0.35"/>
    <row r="33" spans="2:8" x14ac:dyDescent="0.35"/>
    <row r="34" spans="2:8" x14ac:dyDescent="0.35"/>
    <row r="35" spans="2:8" x14ac:dyDescent="0.35"/>
    <row r="36" spans="2:8" x14ac:dyDescent="0.35"/>
    <row r="37" spans="2:8" ht="9.75" customHeight="1" x14ac:dyDescent="0.35"/>
    <row r="38" spans="2:8" x14ac:dyDescent="0.35"/>
    <row r="39" spans="2:8" ht="9.75" customHeight="1" x14ac:dyDescent="0.35"/>
    <row r="40" spans="2:8" x14ac:dyDescent="0.35"/>
    <row r="41" spans="2:8" x14ac:dyDescent="0.35"/>
    <row r="42" spans="2:8" ht="20.25" x14ac:dyDescent="0.55000000000000004">
      <c r="B42" s="114" t="s">
        <v>77</v>
      </c>
      <c r="C42" s="114"/>
      <c r="D42" s="114"/>
      <c r="E42" s="114"/>
      <c r="F42" s="114"/>
      <c r="G42" s="114"/>
      <c r="H42" s="114"/>
    </row>
    <row r="43" spans="2:8" ht="4.5" customHeight="1" x14ac:dyDescent="0.55000000000000004">
      <c r="B43" s="5"/>
    </row>
    <row r="44" spans="2:8" ht="20.25" x14ac:dyDescent="0.55000000000000004">
      <c r="B44" s="114" t="s">
        <v>52</v>
      </c>
      <c r="C44" s="114"/>
      <c r="D44" s="114"/>
      <c r="E44" s="114"/>
      <c r="F44" s="114"/>
      <c r="G44" s="114"/>
      <c r="H44" s="114"/>
    </row>
    <row r="45" spans="2:8" ht="4.5" customHeight="1" x14ac:dyDescent="0.55000000000000004">
      <c r="B45" s="5"/>
    </row>
    <row r="46" spans="2:8" ht="20.25" x14ac:dyDescent="0.55000000000000004">
      <c r="B46" s="114" t="s">
        <v>76</v>
      </c>
      <c r="C46" s="114"/>
      <c r="D46" s="114"/>
      <c r="E46" s="114"/>
      <c r="F46" s="114"/>
      <c r="G46" s="114"/>
      <c r="H46" s="114"/>
    </row>
    <row r="47" spans="2:8" x14ac:dyDescent="0.35"/>
  </sheetData>
  <sheetProtection algorithmName="SHA-512" hashValue="J+duHMPS/sY+8RAr+h0VnbMxSUsaBvmEG4SmMRa2RT++y1Zk6HFDhIQ8mFFds+zVTVUBPFrU2o0Ii51WtApVZQ==" saltValue="LzBnuzzL82CyJqGpwQQ4EA==" spinCount="100000" sheet="1" selectLockedCells="1" selectUnlockedCells="1"/>
  <protectedRanges>
    <protectedRange sqref="B17" name="Rango3"/>
  </protectedRanges>
  <mergeCells count="4">
    <mergeCell ref="B17:H17"/>
    <mergeCell ref="B42:H42"/>
    <mergeCell ref="B44:H44"/>
    <mergeCell ref="B46:H46"/>
  </mergeCells>
  <pageMargins left="0.39370078740157483" right="0.23622047244094491" top="1.2598425196850394" bottom="0.74803149606299213" header="0" footer="0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3"/>
  <sheetViews>
    <sheetView showRowColHeaders="0" topLeftCell="A166" workbookViewId="0">
      <selection activeCell="B3" sqref="B3"/>
    </sheetView>
  </sheetViews>
  <sheetFormatPr baseColWidth="10" defaultRowHeight="12.75" x14ac:dyDescent="0.35"/>
  <cols>
    <col min="1" max="1" width="11.73046875" bestFit="1" customWidth="1"/>
    <col min="2" max="2" width="17.59765625" bestFit="1" customWidth="1"/>
    <col min="3" max="3" width="15.796875" bestFit="1" customWidth="1"/>
    <col min="4" max="4" width="9.59765625" bestFit="1" customWidth="1"/>
    <col min="5" max="5" width="16" bestFit="1" customWidth="1"/>
    <col min="6" max="6" width="20.46484375" bestFit="1" customWidth="1"/>
    <col min="7" max="7" width="11.33203125" bestFit="1" customWidth="1"/>
    <col min="8" max="8" width="14.1328125" bestFit="1" customWidth="1"/>
    <col min="9" max="9" width="9.19921875" bestFit="1" customWidth="1"/>
    <col min="10" max="10" width="32.19921875" bestFit="1" customWidth="1"/>
    <col min="11" max="11" width="21.796875" bestFit="1" customWidth="1"/>
  </cols>
  <sheetData>
    <row r="1" spans="1:11" x14ac:dyDescent="0.35">
      <c r="A1" t="s">
        <v>80</v>
      </c>
      <c r="B1" t="s">
        <v>81</v>
      </c>
      <c r="C1" t="s">
        <v>20</v>
      </c>
      <c r="D1" t="s">
        <v>124</v>
      </c>
      <c r="E1" t="s">
        <v>21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</row>
    <row r="2" spans="1:11" x14ac:dyDescent="0.35">
      <c r="A2" t="s">
        <v>326</v>
      </c>
      <c r="B2" t="s">
        <v>327</v>
      </c>
      <c r="C2" t="s">
        <v>353</v>
      </c>
      <c r="D2" t="s">
        <v>139</v>
      </c>
      <c r="E2" t="s">
        <v>132</v>
      </c>
      <c r="G2" t="s">
        <v>135</v>
      </c>
      <c r="H2" t="s">
        <v>135</v>
      </c>
      <c r="I2" t="s">
        <v>134</v>
      </c>
      <c r="J2">
        <v>6.3</v>
      </c>
      <c r="K2" t="s">
        <v>135</v>
      </c>
    </row>
    <row r="3" spans="1:11" x14ac:dyDescent="0.35">
      <c r="A3" t="s">
        <v>82</v>
      </c>
      <c r="B3" t="s">
        <v>83</v>
      </c>
      <c r="C3" t="s">
        <v>354</v>
      </c>
      <c r="D3" t="s">
        <v>139</v>
      </c>
      <c r="E3" t="s">
        <v>140</v>
      </c>
      <c r="G3" t="s">
        <v>135</v>
      </c>
      <c r="H3" t="s">
        <v>135</v>
      </c>
      <c r="I3" t="s">
        <v>135</v>
      </c>
      <c r="K3" t="s">
        <v>135</v>
      </c>
    </row>
    <row r="4" spans="1:11" x14ac:dyDescent="0.35">
      <c r="A4" t="s">
        <v>82</v>
      </c>
      <c r="B4" t="s">
        <v>83</v>
      </c>
      <c r="C4" t="s">
        <v>328</v>
      </c>
      <c r="D4" t="s">
        <v>158</v>
      </c>
      <c r="E4" t="s">
        <v>268</v>
      </c>
      <c r="G4" t="s">
        <v>135</v>
      </c>
      <c r="H4" t="s">
        <v>135</v>
      </c>
      <c r="I4" t="s">
        <v>135</v>
      </c>
      <c r="K4" t="s">
        <v>135</v>
      </c>
    </row>
    <row r="5" spans="1:11" x14ac:dyDescent="0.35">
      <c r="A5" t="s">
        <v>82</v>
      </c>
      <c r="B5" t="s">
        <v>83</v>
      </c>
      <c r="C5" t="s">
        <v>160</v>
      </c>
      <c r="D5" t="s">
        <v>158</v>
      </c>
      <c r="E5" t="s">
        <v>268</v>
      </c>
      <c r="G5" t="s">
        <v>135</v>
      </c>
      <c r="H5" t="s">
        <v>135</v>
      </c>
      <c r="I5" t="s">
        <v>135</v>
      </c>
      <c r="K5" t="s">
        <v>135</v>
      </c>
    </row>
    <row r="6" spans="1:11" x14ac:dyDescent="0.35">
      <c r="A6" t="s">
        <v>82</v>
      </c>
      <c r="B6" t="s">
        <v>83</v>
      </c>
      <c r="C6" t="s">
        <v>355</v>
      </c>
      <c r="D6" t="s">
        <v>158</v>
      </c>
      <c r="E6" t="s">
        <v>281</v>
      </c>
      <c r="G6" t="s">
        <v>135</v>
      </c>
      <c r="H6" t="s">
        <v>135</v>
      </c>
      <c r="I6" t="s">
        <v>135</v>
      </c>
      <c r="K6" t="s">
        <v>135</v>
      </c>
    </row>
    <row r="7" spans="1:11" x14ac:dyDescent="0.35">
      <c r="A7" t="s">
        <v>82</v>
      </c>
      <c r="B7" t="s">
        <v>83</v>
      </c>
      <c r="C7" t="s">
        <v>356</v>
      </c>
      <c r="D7" t="s">
        <v>139</v>
      </c>
      <c r="E7" t="s">
        <v>140</v>
      </c>
      <c r="G7" t="s">
        <v>135</v>
      </c>
      <c r="H7" t="s">
        <v>135</v>
      </c>
      <c r="I7" t="s">
        <v>135</v>
      </c>
      <c r="K7" t="s">
        <v>135</v>
      </c>
    </row>
    <row r="8" spans="1:11" x14ac:dyDescent="0.35">
      <c r="A8" t="s">
        <v>82</v>
      </c>
      <c r="B8" t="s">
        <v>83</v>
      </c>
      <c r="C8" t="s">
        <v>161</v>
      </c>
      <c r="D8" t="s">
        <v>158</v>
      </c>
      <c r="E8" t="s">
        <v>268</v>
      </c>
      <c r="G8" t="s">
        <v>135</v>
      </c>
      <c r="H8" t="s">
        <v>135</v>
      </c>
      <c r="I8" t="s">
        <v>135</v>
      </c>
      <c r="K8" t="s">
        <v>135</v>
      </c>
    </row>
    <row r="9" spans="1:11" x14ac:dyDescent="0.35">
      <c r="A9" t="s">
        <v>82</v>
      </c>
      <c r="B9" t="s">
        <v>83</v>
      </c>
      <c r="C9" t="s">
        <v>357</v>
      </c>
      <c r="D9" t="s">
        <v>139</v>
      </c>
      <c r="E9" t="s">
        <v>140</v>
      </c>
      <c r="G9" t="s">
        <v>135</v>
      </c>
      <c r="H9" t="s">
        <v>135</v>
      </c>
      <c r="I9" t="s">
        <v>135</v>
      </c>
      <c r="K9" t="s">
        <v>135</v>
      </c>
    </row>
    <row r="10" spans="1:11" x14ac:dyDescent="0.35">
      <c r="A10" t="s">
        <v>82</v>
      </c>
      <c r="B10" t="s">
        <v>83</v>
      </c>
      <c r="C10" t="s">
        <v>138</v>
      </c>
      <c r="D10" t="s">
        <v>158</v>
      </c>
      <c r="E10" t="s">
        <v>268</v>
      </c>
      <c r="G10" t="s">
        <v>135</v>
      </c>
      <c r="H10" t="s">
        <v>135</v>
      </c>
      <c r="I10" t="s">
        <v>135</v>
      </c>
      <c r="K10" t="s">
        <v>135</v>
      </c>
    </row>
    <row r="11" spans="1:11" x14ac:dyDescent="0.35">
      <c r="A11" t="s">
        <v>82</v>
      </c>
      <c r="B11" t="s">
        <v>83</v>
      </c>
      <c r="C11" t="s">
        <v>141</v>
      </c>
      <c r="D11" t="s">
        <v>158</v>
      </c>
      <c r="E11" t="s">
        <v>281</v>
      </c>
      <c r="G11" t="s">
        <v>135</v>
      </c>
      <c r="H11" t="s">
        <v>135</v>
      </c>
      <c r="I11" t="s">
        <v>135</v>
      </c>
      <c r="K11" t="s">
        <v>135</v>
      </c>
    </row>
    <row r="12" spans="1:11" x14ac:dyDescent="0.35">
      <c r="A12" t="s">
        <v>82</v>
      </c>
      <c r="B12" t="s">
        <v>83</v>
      </c>
      <c r="C12" t="s">
        <v>358</v>
      </c>
      <c r="D12" t="s">
        <v>131</v>
      </c>
      <c r="E12" t="s">
        <v>145</v>
      </c>
      <c r="F12">
        <v>52.5</v>
      </c>
      <c r="G12" t="s">
        <v>143</v>
      </c>
      <c r="H12" t="s">
        <v>359</v>
      </c>
      <c r="I12" t="s">
        <v>135</v>
      </c>
      <c r="J12">
        <v>6</v>
      </c>
      <c r="K12" t="s">
        <v>135</v>
      </c>
    </row>
    <row r="13" spans="1:11" x14ac:dyDescent="0.35">
      <c r="A13" t="s">
        <v>82</v>
      </c>
      <c r="B13" t="s">
        <v>115</v>
      </c>
      <c r="C13" t="s">
        <v>360</v>
      </c>
      <c r="D13" t="s">
        <v>139</v>
      </c>
      <c r="E13" t="s">
        <v>132</v>
      </c>
      <c r="G13" t="s">
        <v>135</v>
      </c>
      <c r="H13" t="s">
        <v>135</v>
      </c>
      <c r="I13" t="s">
        <v>135</v>
      </c>
      <c r="K13" t="s">
        <v>135</v>
      </c>
    </row>
    <row r="14" spans="1:11" x14ac:dyDescent="0.35">
      <c r="A14" t="s">
        <v>82</v>
      </c>
      <c r="B14" t="s">
        <v>115</v>
      </c>
      <c r="C14" t="s">
        <v>361</v>
      </c>
      <c r="D14" t="s">
        <v>131</v>
      </c>
      <c r="E14" t="s">
        <v>132</v>
      </c>
      <c r="F14">
        <v>52.5</v>
      </c>
      <c r="G14" t="s">
        <v>146</v>
      </c>
      <c r="H14" t="s">
        <v>147</v>
      </c>
      <c r="I14" t="s">
        <v>135</v>
      </c>
      <c r="J14">
        <v>6.5</v>
      </c>
      <c r="K14" t="s">
        <v>135</v>
      </c>
    </row>
    <row r="15" spans="1:11" x14ac:dyDescent="0.35">
      <c r="A15" t="s">
        <v>82</v>
      </c>
      <c r="B15" t="s">
        <v>362</v>
      </c>
      <c r="C15" t="s">
        <v>363</v>
      </c>
      <c r="D15" t="s">
        <v>139</v>
      </c>
      <c r="E15" t="s">
        <v>132</v>
      </c>
      <c r="G15" t="s">
        <v>135</v>
      </c>
      <c r="H15" t="s">
        <v>135</v>
      </c>
      <c r="I15" t="s">
        <v>135</v>
      </c>
      <c r="K15" t="s">
        <v>135</v>
      </c>
    </row>
    <row r="16" spans="1:11" x14ac:dyDescent="0.35">
      <c r="A16" t="s">
        <v>82</v>
      </c>
      <c r="B16" t="s">
        <v>362</v>
      </c>
      <c r="C16" t="s">
        <v>364</v>
      </c>
      <c r="D16" t="s">
        <v>139</v>
      </c>
      <c r="E16" t="s">
        <v>132</v>
      </c>
      <c r="G16" t="s">
        <v>135</v>
      </c>
      <c r="H16" t="s">
        <v>135</v>
      </c>
      <c r="I16" t="s">
        <v>135</v>
      </c>
      <c r="K16" t="s">
        <v>135</v>
      </c>
    </row>
    <row r="17" spans="1:11" x14ac:dyDescent="0.35">
      <c r="A17" t="s">
        <v>82</v>
      </c>
      <c r="B17" t="s">
        <v>362</v>
      </c>
      <c r="C17" t="s">
        <v>365</v>
      </c>
      <c r="D17" t="s">
        <v>131</v>
      </c>
      <c r="E17" t="s">
        <v>132</v>
      </c>
      <c r="F17">
        <v>52.5</v>
      </c>
      <c r="G17" t="s">
        <v>136</v>
      </c>
      <c r="H17" t="s">
        <v>167</v>
      </c>
      <c r="I17" t="s">
        <v>135</v>
      </c>
      <c r="J17">
        <v>4.8</v>
      </c>
      <c r="K17" t="s">
        <v>135</v>
      </c>
    </row>
    <row r="18" spans="1:11" x14ac:dyDescent="0.35">
      <c r="A18" t="s">
        <v>82</v>
      </c>
      <c r="B18" t="s">
        <v>362</v>
      </c>
      <c r="C18" t="s">
        <v>366</v>
      </c>
      <c r="D18" t="s">
        <v>131</v>
      </c>
      <c r="E18" t="s">
        <v>132</v>
      </c>
      <c r="F18">
        <v>52.5</v>
      </c>
      <c r="G18" t="s">
        <v>136</v>
      </c>
      <c r="H18" t="s">
        <v>167</v>
      </c>
      <c r="I18" t="s">
        <v>135</v>
      </c>
      <c r="J18">
        <v>6</v>
      </c>
      <c r="K18" t="s">
        <v>135</v>
      </c>
    </row>
    <row r="19" spans="1:11" x14ac:dyDescent="0.35">
      <c r="A19" t="s">
        <v>82</v>
      </c>
      <c r="B19" t="s">
        <v>362</v>
      </c>
      <c r="C19" t="s">
        <v>367</v>
      </c>
      <c r="D19" t="s">
        <v>131</v>
      </c>
      <c r="E19" t="s">
        <v>132</v>
      </c>
      <c r="F19">
        <v>52.5</v>
      </c>
      <c r="G19" t="s">
        <v>136</v>
      </c>
      <c r="H19" t="s">
        <v>167</v>
      </c>
      <c r="I19" t="s">
        <v>135</v>
      </c>
      <c r="J19">
        <v>6</v>
      </c>
      <c r="K19" t="s">
        <v>135</v>
      </c>
    </row>
    <row r="20" spans="1:11" x14ac:dyDescent="0.35">
      <c r="A20" t="s">
        <v>82</v>
      </c>
      <c r="B20" t="s">
        <v>362</v>
      </c>
      <c r="C20" t="s">
        <v>368</v>
      </c>
      <c r="D20" t="s">
        <v>131</v>
      </c>
      <c r="E20" t="s">
        <v>132</v>
      </c>
      <c r="F20">
        <v>52.5</v>
      </c>
      <c r="G20" t="s">
        <v>136</v>
      </c>
      <c r="H20" t="s">
        <v>167</v>
      </c>
      <c r="I20" t="s">
        <v>135</v>
      </c>
      <c r="J20">
        <v>6</v>
      </c>
      <c r="K20" t="s">
        <v>135</v>
      </c>
    </row>
    <row r="21" spans="1:11" x14ac:dyDescent="0.35">
      <c r="A21" t="s">
        <v>84</v>
      </c>
      <c r="B21" t="s">
        <v>163</v>
      </c>
      <c r="C21" t="s">
        <v>164</v>
      </c>
      <c r="D21" t="s">
        <v>139</v>
      </c>
      <c r="E21" t="s">
        <v>369</v>
      </c>
      <c r="F21">
        <v>52.5</v>
      </c>
      <c r="G21" t="s">
        <v>154</v>
      </c>
      <c r="H21" t="s">
        <v>155</v>
      </c>
      <c r="I21" t="s">
        <v>135</v>
      </c>
      <c r="J21">
        <v>4</v>
      </c>
      <c r="K21" t="s">
        <v>135</v>
      </c>
    </row>
    <row r="22" spans="1:11" x14ac:dyDescent="0.35">
      <c r="A22" t="s">
        <v>84</v>
      </c>
      <c r="B22" t="s">
        <v>163</v>
      </c>
      <c r="C22" t="s">
        <v>330</v>
      </c>
      <c r="D22" t="s">
        <v>139</v>
      </c>
      <c r="E22" t="s">
        <v>156</v>
      </c>
      <c r="F22">
        <v>52.5</v>
      </c>
      <c r="G22" t="s">
        <v>154</v>
      </c>
      <c r="H22" t="s">
        <v>155</v>
      </c>
      <c r="I22" t="s">
        <v>135</v>
      </c>
      <c r="J22">
        <v>4</v>
      </c>
      <c r="K22" t="s">
        <v>135</v>
      </c>
    </row>
    <row r="23" spans="1:11" x14ac:dyDescent="0.35">
      <c r="A23" t="s">
        <v>84</v>
      </c>
      <c r="B23" t="s">
        <v>370</v>
      </c>
      <c r="C23" t="s">
        <v>371</v>
      </c>
      <c r="D23" t="s">
        <v>139</v>
      </c>
      <c r="E23" t="s">
        <v>149</v>
      </c>
      <c r="F23">
        <v>52.5</v>
      </c>
      <c r="G23" t="s">
        <v>135</v>
      </c>
      <c r="H23" t="s">
        <v>155</v>
      </c>
      <c r="I23" t="s">
        <v>135</v>
      </c>
      <c r="J23">
        <v>5.5</v>
      </c>
      <c r="K23" t="s">
        <v>135</v>
      </c>
    </row>
    <row r="24" spans="1:11" x14ac:dyDescent="0.35">
      <c r="A24" t="s">
        <v>84</v>
      </c>
      <c r="B24" t="s">
        <v>370</v>
      </c>
      <c r="C24" t="s">
        <v>372</v>
      </c>
      <c r="D24" t="s">
        <v>139</v>
      </c>
      <c r="E24" t="s">
        <v>132</v>
      </c>
      <c r="F24">
        <v>52.5</v>
      </c>
      <c r="G24" t="s">
        <v>135</v>
      </c>
      <c r="H24" t="s">
        <v>155</v>
      </c>
      <c r="I24" t="s">
        <v>135</v>
      </c>
      <c r="J24">
        <v>5.5</v>
      </c>
      <c r="K24" t="s">
        <v>135</v>
      </c>
    </row>
    <row r="25" spans="1:11" x14ac:dyDescent="0.35">
      <c r="A25" t="s">
        <v>84</v>
      </c>
      <c r="B25" t="s">
        <v>165</v>
      </c>
      <c r="C25" t="s">
        <v>166</v>
      </c>
      <c r="D25" t="s">
        <v>158</v>
      </c>
      <c r="E25" t="s">
        <v>269</v>
      </c>
      <c r="G25" t="s">
        <v>331</v>
      </c>
      <c r="H25" t="s">
        <v>332</v>
      </c>
      <c r="I25" t="s">
        <v>135</v>
      </c>
      <c r="J25">
        <v>4.5</v>
      </c>
      <c r="K25" t="s">
        <v>135</v>
      </c>
    </row>
    <row r="26" spans="1:11" x14ac:dyDescent="0.35">
      <c r="A26" t="s">
        <v>84</v>
      </c>
      <c r="B26" t="s">
        <v>165</v>
      </c>
      <c r="C26" t="s">
        <v>168</v>
      </c>
      <c r="D26" t="s">
        <v>158</v>
      </c>
      <c r="E26" t="s">
        <v>269</v>
      </c>
      <c r="F26">
        <v>52.5</v>
      </c>
      <c r="G26" t="s">
        <v>154</v>
      </c>
      <c r="H26" t="s">
        <v>155</v>
      </c>
      <c r="I26" t="s">
        <v>135</v>
      </c>
      <c r="J26">
        <v>4</v>
      </c>
      <c r="K26" t="s">
        <v>135</v>
      </c>
    </row>
    <row r="27" spans="1:11" x14ac:dyDescent="0.35">
      <c r="A27" t="s">
        <v>84</v>
      </c>
      <c r="B27" t="s">
        <v>85</v>
      </c>
      <c r="C27" t="s">
        <v>373</v>
      </c>
      <c r="D27" t="s">
        <v>139</v>
      </c>
      <c r="E27" t="s">
        <v>132</v>
      </c>
      <c r="F27">
        <v>52.5</v>
      </c>
      <c r="G27" t="s">
        <v>133</v>
      </c>
      <c r="H27" t="s">
        <v>151</v>
      </c>
      <c r="I27" t="s">
        <v>135</v>
      </c>
      <c r="J27">
        <v>6.8</v>
      </c>
      <c r="K27" t="s">
        <v>135</v>
      </c>
    </row>
    <row r="28" spans="1:11" x14ac:dyDescent="0.35">
      <c r="A28" t="s">
        <v>84</v>
      </c>
      <c r="B28" t="s">
        <v>85</v>
      </c>
      <c r="C28" t="s">
        <v>374</v>
      </c>
      <c r="D28" t="s">
        <v>139</v>
      </c>
      <c r="E28" t="s">
        <v>145</v>
      </c>
      <c r="F28">
        <v>52.5</v>
      </c>
      <c r="G28" t="s">
        <v>133</v>
      </c>
      <c r="H28" t="s">
        <v>151</v>
      </c>
      <c r="I28" t="s">
        <v>135</v>
      </c>
      <c r="J28">
        <v>6.8</v>
      </c>
      <c r="K28" t="s">
        <v>135</v>
      </c>
    </row>
    <row r="29" spans="1:11" x14ac:dyDescent="0.35">
      <c r="A29" t="s">
        <v>84</v>
      </c>
      <c r="B29" t="s">
        <v>85</v>
      </c>
      <c r="C29" t="s">
        <v>375</v>
      </c>
      <c r="D29" t="s">
        <v>139</v>
      </c>
      <c r="E29" t="s">
        <v>132</v>
      </c>
      <c r="F29">
        <v>52.5</v>
      </c>
      <c r="G29" t="s">
        <v>133</v>
      </c>
      <c r="H29" t="s">
        <v>151</v>
      </c>
      <c r="I29" t="s">
        <v>135</v>
      </c>
      <c r="J29">
        <v>6.8</v>
      </c>
      <c r="K29" t="s">
        <v>135</v>
      </c>
    </row>
    <row r="30" spans="1:11" x14ac:dyDescent="0.35">
      <c r="A30" t="s">
        <v>84</v>
      </c>
      <c r="B30" t="s">
        <v>333</v>
      </c>
      <c r="C30" t="s">
        <v>334</v>
      </c>
      <c r="D30" t="s">
        <v>131</v>
      </c>
      <c r="E30" t="s">
        <v>156</v>
      </c>
      <c r="F30">
        <v>52.5</v>
      </c>
      <c r="G30" t="s">
        <v>331</v>
      </c>
      <c r="H30" t="s">
        <v>332</v>
      </c>
      <c r="I30" t="s">
        <v>135</v>
      </c>
      <c r="J30">
        <v>4.5</v>
      </c>
      <c r="K30" t="s">
        <v>135</v>
      </c>
    </row>
    <row r="31" spans="1:11" x14ac:dyDescent="0.35">
      <c r="A31" t="s">
        <v>84</v>
      </c>
      <c r="B31" t="s">
        <v>333</v>
      </c>
      <c r="C31" t="s">
        <v>335</v>
      </c>
      <c r="D31" t="s">
        <v>131</v>
      </c>
      <c r="E31" t="s">
        <v>137</v>
      </c>
      <c r="F31">
        <v>52.5</v>
      </c>
      <c r="G31" t="s">
        <v>331</v>
      </c>
      <c r="H31" t="s">
        <v>332</v>
      </c>
      <c r="I31" t="s">
        <v>135</v>
      </c>
      <c r="J31">
        <v>4.5</v>
      </c>
      <c r="K31" t="s">
        <v>135</v>
      </c>
    </row>
    <row r="32" spans="1:11" x14ac:dyDescent="0.35">
      <c r="A32" t="s">
        <v>84</v>
      </c>
      <c r="B32" t="s">
        <v>333</v>
      </c>
      <c r="C32" t="s">
        <v>336</v>
      </c>
      <c r="D32" t="s">
        <v>131</v>
      </c>
      <c r="E32" t="s">
        <v>137</v>
      </c>
      <c r="F32">
        <v>52.5</v>
      </c>
      <c r="G32" t="s">
        <v>331</v>
      </c>
      <c r="H32" t="s">
        <v>332</v>
      </c>
      <c r="I32" t="s">
        <v>135</v>
      </c>
      <c r="J32">
        <v>4.5</v>
      </c>
      <c r="K32" t="s">
        <v>135</v>
      </c>
    </row>
    <row r="33" spans="1:11" x14ac:dyDescent="0.35">
      <c r="A33" t="s">
        <v>84</v>
      </c>
      <c r="B33" t="s">
        <v>86</v>
      </c>
      <c r="C33" t="s">
        <v>337</v>
      </c>
      <c r="D33" t="s">
        <v>131</v>
      </c>
      <c r="E33" t="s">
        <v>156</v>
      </c>
      <c r="F33">
        <v>52.5</v>
      </c>
      <c r="G33" t="s">
        <v>331</v>
      </c>
      <c r="H33" t="s">
        <v>332</v>
      </c>
      <c r="I33" t="s">
        <v>135</v>
      </c>
      <c r="J33">
        <v>4.5</v>
      </c>
      <c r="K33" t="s">
        <v>135</v>
      </c>
    </row>
    <row r="34" spans="1:11" x14ac:dyDescent="0.35">
      <c r="A34" t="s">
        <v>84</v>
      </c>
      <c r="B34" t="s">
        <v>86</v>
      </c>
      <c r="C34" t="s">
        <v>169</v>
      </c>
      <c r="D34" t="s">
        <v>139</v>
      </c>
      <c r="E34" t="s">
        <v>172</v>
      </c>
      <c r="F34">
        <v>52.5</v>
      </c>
      <c r="G34" t="s">
        <v>154</v>
      </c>
      <c r="H34" t="s">
        <v>155</v>
      </c>
      <c r="I34" t="s">
        <v>135</v>
      </c>
      <c r="J34">
        <v>6</v>
      </c>
      <c r="K34" t="s">
        <v>135</v>
      </c>
    </row>
    <row r="35" spans="1:11" x14ac:dyDescent="0.35">
      <c r="A35" t="s">
        <v>84</v>
      </c>
      <c r="B35" t="s">
        <v>86</v>
      </c>
      <c r="C35" t="s">
        <v>376</v>
      </c>
      <c r="D35" t="s">
        <v>139</v>
      </c>
      <c r="E35" t="s">
        <v>140</v>
      </c>
      <c r="F35">
        <v>52.5</v>
      </c>
      <c r="G35" t="s">
        <v>154</v>
      </c>
      <c r="H35" t="s">
        <v>155</v>
      </c>
      <c r="I35" t="s">
        <v>135</v>
      </c>
      <c r="J35">
        <v>6</v>
      </c>
      <c r="K35" t="s">
        <v>135</v>
      </c>
    </row>
    <row r="36" spans="1:11" x14ac:dyDescent="0.35">
      <c r="A36" t="s">
        <v>84</v>
      </c>
      <c r="B36" t="s">
        <v>86</v>
      </c>
      <c r="C36" t="s">
        <v>170</v>
      </c>
      <c r="D36" t="s">
        <v>139</v>
      </c>
      <c r="E36" t="s">
        <v>369</v>
      </c>
      <c r="F36">
        <v>52.5</v>
      </c>
      <c r="G36" t="s">
        <v>154</v>
      </c>
      <c r="H36" t="s">
        <v>155</v>
      </c>
      <c r="I36" t="s">
        <v>135</v>
      </c>
      <c r="J36">
        <v>4.5</v>
      </c>
      <c r="K36" t="s">
        <v>135</v>
      </c>
    </row>
    <row r="37" spans="1:11" x14ac:dyDescent="0.35">
      <c r="A37" t="s">
        <v>84</v>
      </c>
      <c r="B37" t="s">
        <v>86</v>
      </c>
      <c r="C37" t="s">
        <v>338</v>
      </c>
      <c r="D37" t="s">
        <v>158</v>
      </c>
      <c r="E37" t="s">
        <v>269</v>
      </c>
      <c r="F37">
        <v>52.5</v>
      </c>
      <c r="G37" t="s">
        <v>154</v>
      </c>
      <c r="H37" t="s">
        <v>155</v>
      </c>
      <c r="I37" t="s">
        <v>135</v>
      </c>
      <c r="J37">
        <v>5.5</v>
      </c>
      <c r="K37" t="s">
        <v>135</v>
      </c>
    </row>
    <row r="38" spans="1:11" x14ac:dyDescent="0.35">
      <c r="A38" t="s">
        <v>84</v>
      </c>
      <c r="B38" t="s">
        <v>86</v>
      </c>
      <c r="C38" t="s">
        <v>144</v>
      </c>
      <c r="D38" t="s">
        <v>139</v>
      </c>
      <c r="E38" t="s">
        <v>369</v>
      </c>
      <c r="F38">
        <v>52.5</v>
      </c>
      <c r="G38" t="s">
        <v>154</v>
      </c>
      <c r="H38" t="s">
        <v>155</v>
      </c>
      <c r="I38" t="s">
        <v>135</v>
      </c>
      <c r="J38">
        <v>6</v>
      </c>
      <c r="K38" t="s">
        <v>135</v>
      </c>
    </row>
    <row r="39" spans="1:11" x14ac:dyDescent="0.35">
      <c r="A39" t="s">
        <v>84</v>
      </c>
      <c r="B39" t="s">
        <v>87</v>
      </c>
      <c r="C39" t="s">
        <v>377</v>
      </c>
      <c r="D39" t="s">
        <v>139</v>
      </c>
      <c r="E39" t="s">
        <v>145</v>
      </c>
      <c r="G39" t="s">
        <v>331</v>
      </c>
      <c r="H39" t="s">
        <v>332</v>
      </c>
      <c r="I39" t="s">
        <v>135</v>
      </c>
      <c r="J39">
        <v>4.5</v>
      </c>
      <c r="K39" t="s">
        <v>135</v>
      </c>
    </row>
    <row r="40" spans="1:11" x14ac:dyDescent="0.35">
      <c r="A40" t="s">
        <v>84</v>
      </c>
      <c r="B40" t="s">
        <v>87</v>
      </c>
      <c r="C40" t="s">
        <v>378</v>
      </c>
      <c r="D40" t="s">
        <v>139</v>
      </c>
      <c r="E40" t="s">
        <v>132</v>
      </c>
      <c r="G40" t="s">
        <v>331</v>
      </c>
      <c r="H40" t="s">
        <v>332</v>
      </c>
      <c r="I40" t="s">
        <v>135</v>
      </c>
      <c r="J40">
        <v>4.5</v>
      </c>
      <c r="K40" t="s">
        <v>135</v>
      </c>
    </row>
    <row r="41" spans="1:11" x14ac:dyDescent="0.35">
      <c r="A41" t="s">
        <v>84</v>
      </c>
      <c r="B41" t="s">
        <v>87</v>
      </c>
      <c r="C41" t="s">
        <v>379</v>
      </c>
      <c r="D41" t="s">
        <v>139</v>
      </c>
      <c r="E41" t="s">
        <v>145</v>
      </c>
      <c r="G41" t="s">
        <v>331</v>
      </c>
      <c r="H41" t="s">
        <v>332</v>
      </c>
      <c r="I41" t="s">
        <v>135</v>
      </c>
      <c r="J41">
        <v>6</v>
      </c>
      <c r="K41" t="s">
        <v>135</v>
      </c>
    </row>
    <row r="42" spans="1:11" x14ac:dyDescent="0.35">
      <c r="A42" t="s">
        <v>84</v>
      </c>
      <c r="B42" t="s">
        <v>87</v>
      </c>
      <c r="C42" t="s">
        <v>380</v>
      </c>
      <c r="D42" t="s">
        <v>131</v>
      </c>
      <c r="E42" t="s">
        <v>145</v>
      </c>
      <c r="F42">
        <v>52.5</v>
      </c>
      <c r="G42" t="s">
        <v>133</v>
      </c>
      <c r="H42" t="s">
        <v>151</v>
      </c>
      <c r="I42" t="s">
        <v>135</v>
      </c>
      <c r="J42">
        <v>4.5</v>
      </c>
      <c r="K42" t="s">
        <v>135</v>
      </c>
    </row>
    <row r="43" spans="1:11" x14ac:dyDescent="0.35">
      <c r="A43" t="s">
        <v>84</v>
      </c>
      <c r="B43" t="s">
        <v>87</v>
      </c>
      <c r="C43" t="s">
        <v>381</v>
      </c>
      <c r="D43" t="s">
        <v>131</v>
      </c>
      <c r="E43" t="s">
        <v>132</v>
      </c>
      <c r="F43">
        <v>52.5</v>
      </c>
      <c r="G43" t="s">
        <v>331</v>
      </c>
      <c r="H43" t="s">
        <v>332</v>
      </c>
      <c r="I43" t="s">
        <v>135</v>
      </c>
      <c r="J43">
        <v>4.5</v>
      </c>
      <c r="K43" t="s">
        <v>135</v>
      </c>
    </row>
    <row r="44" spans="1:11" x14ac:dyDescent="0.35">
      <c r="A44" t="s">
        <v>84</v>
      </c>
      <c r="B44" t="s">
        <v>87</v>
      </c>
      <c r="C44" t="s">
        <v>382</v>
      </c>
      <c r="D44" t="s">
        <v>131</v>
      </c>
      <c r="E44" t="s">
        <v>145</v>
      </c>
      <c r="F44">
        <v>52.5</v>
      </c>
      <c r="G44" t="s">
        <v>133</v>
      </c>
      <c r="H44" t="s">
        <v>151</v>
      </c>
      <c r="I44" t="s">
        <v>135</v>
      </c>
      <c r="J44">
        <v>4</v>
      </c>
      <c r="K44" t="s">
        <v>135</v>
      </c>
    </row>
    <row r="45" spans="1:11" x14ac:dyDescent="0.35">
      <c r="A45" t="s">
        <v>84</v>
      </c>
      <c r="B45" t="s">
        <v>87</v>
      </c>
      <c r="C45" t="s">
        <v>383</v>
      </c>
      <c r="D45" t="s">
        <v>131</v>
      </c>
      <c r="E45" t="s">
        <v>132</v>
      </c>
      <c r="F45">
        <v>52.5</v>
      </c>
      <c r="G45" t="s">
        <v>133</v>
      </c>
      <c r="H45" t="s">
        <v>151</v>
      </c>
      <c r="I45" t="s">
        <v>135</v>
      </c>
      <c r="J45">
        <v>6.8</v>
      </c>
      <c r="K45" t="s">
        <v>135</v>
      </c>
    </row>
    <row r="46" spans="1:11" x14ac:dyDescent="0.35">
      <c r="A46" t="s">
        <v>84</v>
      </c>
      <c r="B46" t="s">
        <v>87</v>
      </c>
      <c r="C46" t="s">
        <v>171</v>
      </c>
      <c r="D46" t="s">
        <v>139</v>
      </c>
      <c r="E46" t="s">
        <v>139</v>
      </c>
      <c r="G46" t="s">
        <v>331</v>
      </c>
      <c r="H46" t="s">
        <v>332</v>
      </c>
      <c r="I46" t="s">
        <v>135</v>
      </c>
      <c r="J46">
        <v>5</v>
      </c>
      <c r="K46" t="s">
        <v>135</v>
      </c>
    </row>
    <row r="47" spans="1:11" x14ac:dyDescent="0.35">
      <c r="A47" t="s">
        <v>84</v>
      </c>
      <c r="B47" t="s">
        <v>384</v>
      </c>
      <c r="C47" t="s">
        <v>385</v>
      </c>
      <c r="D47" t="s">
        <v>139</v>
      </c>
      <c r="E47" t="s">
        <v>140</v>
      </c>
      <c r="F47">
        <v>52.5</v>
      </c>
      <c r="G47" t="s">
        <v>331</v>
      </c>
      <c r="H47" t="s">
        <v>332</v>
      </c>
      <c r="I47" t="s">
        <v>134</v>
      </c>
      <c r="J47">
        <v>6</v>
      </c>
      <c r="K47" t="s">
        <v>135</v>
      </c>
    </row>
    <row r="48" spans="1:11" x14ac:dyDescent="0.35">
      <c r="A48" t="s">
        <v>88</v>
      </c>
      <c r="B48" t="s">
        <v>116</v>
      </c>
      <c r="C48" t="s">
        <v>386</v>
      </c>
      <c r="D48" t="s">
        <v>131</v>
      </c>
      <c r="E48" t="s">
        <v>145</v>
      </c>
      <c r="F48">
        <v>52.5</v>
      </c>
      <c r="G48" t="s">
        <v>146</v>
      </c>
      <c r="H48" t="s">
        <v>147</v>
      </c>
      <c r="I48" t="s">
        <v>135</v>
      </c>
      <c r="J48">
        <v>6.5</v>
      </c>
      <c r="K48" t="s">
        <v>135</v>
      </c>
    </row>
    <row r="49" spans="1:11" x14ac:dyDescent="0.35">
      <c r="A49" t="s">
        <v>88</v>
      </c>
      <c r="B49" t="s">
        <v>116</v>
      </c>
      <c r="C49" t="s">
        <v>387</v>
      </c>
      <c r="D49" t="s">
        <v>131</v>
      </c>
      <c r="E49" t="s">
        <v>132</v>
      </c>
      <c r="F49">
        <v>52.5</v>
      </c>
      <c r="G49" t="s">
        <v>136</v>
      </c>
      <c r="H49" t="s">
        <v>167</v>
      </c>
      <c r="I49" t="s">
        <v>135</v>
      </c>
      <c r="J49">
        <v>4.5</v>
      </c>
      <c r="K49" t="s">
        <v>135</v>
      </c>
    </row>
    <row r="50" spans="1:11" x14ac:dyDescent="0.35">
      <c r="A50" t="s">
        <v>88</v>
      </c>
      <c r="B50" t="s">
        <v>89</v>
      </c>
      <c r="C50" t="s">
        <v>388</v>
      </c>
      <c r="D50" t="s">
        <v>139</v>
      </c>
      <c r="E50" t="s">
        <v>145</v>
      </c>
      <c r="G50" t="s">
        <v>146</v>
      </c>
      <c r="H50" t="s">
        <v>147</v>
      </c>
      <c r="I50" t="s">
        <v>135</v>
      </c>
      <c r="J50">
        <v>6</v>
      </c>
      <c r="K50" t="s">
        <v>135</v>
      </c>
    </row>
    <row r="51" spans="1:11" x14ac:dyDescent="0.35">
      <c r="A51" t="s">
        <v>88</v>
      </c>
      <c r="B51" t="s">
        <v>89</v>
      </c>
      <c r="C51" t="s">
        <v>389</v>
      </c>
      <c r="D51" t="s">
        <v>131</v>
      </c>
      <c r="E51" t="s">
        <v>149</v>
      </c>
      <c r="F51">
        <v>52.5</v>
      </c>
      <c r="G51" t="s">
        <v>133</v>
      </c>
      <c r="H51" t="s">
        <v>151</v>
      </c>
      <c r="I51" t="s">
        <v>135</v>
      </c>
      <c r="J51">
        <v>4.5</v>
      </c>
      <c r="K51" t="s">
        <v>135</v>
      </c>
    </row>
    <row r="52" spans="1:11" x14ac:dyDescent="0.35">
      <c r="A52" t="s">
        <v>90</v>
      </c>
      <c r="B52" t="s">
        <v>91</v>
      </c>
      <c r="C52" t="s">
        <v>390</v>
      </c>
      <c r="D52" t="s">
        <v>131</v>
      </c>
      <c r="E52" t="s">
        <v>132</v>
      </c>
      <c r="F52">
        <v>70</v>
      </c>
      <c r="G52" t="s">
        <v>146</v>
      </c>
      <c r="H52" t="s">
        <v>147</v>
      </c>
      <c r="I52" t="s">
        <v>134</v>
      </c>
      <c r="J52">
        <v>6.5</v>
      </c>
      <c r="K52" t="s">
        <v>135</v>
      </c>
    </row>
    <row r="53" spans="1:11" x14ac:dyDescent="0.35">
      <c r="A53" t="s">
        <v>90</v>
      </c>
      <c r="B53" t="s">
        <v>91</v>
      </c>
      <c r="C53" t="s">
        <v>339</v>
      </c>
      <c r="D53" t="s">
        <v>139</v>
      </c>
      <c r="E53" t="s">
        <v>172</v>
      </c>
      <c r="F53">
        <v>70</v>
      </c>
      <c r="G53" t="s">
        <v>135</v>
      </c>
      <c r="H53" t="s">
        <v>135</v>
      </c>
      <c r="I53" t="s">
        <v>134</v>
      </c>
      <c r="J53">
        <v>4.2</v>
      </c>
      <c r="K53" t="s">
        <v>135</v>
      </c>
    </row>
    <row r="54" spans="1:11" x14ac:dyDescent="0.35">
      <c r="A54" t="s">
        <v>90</v>
      </c>
      <c r="B54" t="s">
        <v>91</v>
      </c>
      <c r="C54" t="s">
        <v>391</v>
      </c>
      <c r="D54" t="s">
        <v>139</v>
      </c>
      <c r="E54" t="s">
        <v>172</v>
      </c>
      <c r="F54">
        <v>70</v>
      </c>
      <c r="G54" t="s">
        <v>135</v>
      </c>
      <c r="H54" t="s">
        <v>135</v>
      </c>
      <c r="I54" t="s">
        <v>134</v>
      </c>
      <c r="J54">
        <v>4.2</v>
      </c>
      <c r="K54" t="s">
        <v>135</v>
      </c>
    </row>
    <row r="55" spans="1:11" x14ac:dyDescent="0.35">
      <c r="A55" t="s">
        <v>90</v>
      </c>
      <c r="B55" t="s">
        <v>91</v>
      </c>
      <c r="C55" t="s">
        <v>392</v>
      </c>
      <c r="D55" t="s">
        <v>131</v>
      </c>
      <c r="E55" t="s">
        <v>145</v>
      </c>
      <c r="F55">
        <v>70</v>
      </c>
      <c r="G55" t="s">
        <v>136</v>
      </c>
      <c r="H55" t="s">
        <v>167</v>
      </c>
      <c r="I55" t="s">
        <v>134</v>
      </c>
      <c r="J55">
        <v>6.5</v>
      </c>
      <c r="K55" t="s">
        <v>135</v>
      </c>
    </row>
    <row r="56" spans="1:11" x14ac:dyDescent="0.35">
      <c r="A56" t="s">
        <v>90</v>
      </c>
      <c r="B56" t="s">
        <v>117</v>
      </c>
      <c r="C56" t="s">
        <v>393</v>
      </c>
      <c r="D56" t="s">
        <v>139</v>
      </c>
      <c r="E56" t="s">
        <v>132</v>
      </c>
      <c r="F56">
        <v>70</v>
      </c>
      <c r="G56" t="s">
        <v>135</v>
      </c>
      <c r="H56" t="s">
        <v>135</v>
      </c>
      <c r="I56" t="s">
        <v>134</v>
      </c>
      <c r="J56">
        <v>4.8</v>
      </c>
      <c r="K56" t="s">
        <v>135</v>
      </c>
    </row>
    <row r="57" spans="1:11" x14ac:dyDescent="0.35">
      <c r="A57" t="s">
        <v>90</v>
      </c>
      <c r="B57" t="s">
        <v>117</v>
      </c>
      <c r="C57" t="s">
        <v>394</v>
      </c>
      <c r="D57" t="s">
        <v>131</v>
      </c>
      <c r="E57" t="s">
        <v>132</v>
      </c>
      <c r="F57">
        <v>70</v>
      </c>
      <c r="G57" t="s">
        <v>146</v>
      </c>
      <c r="H57" t="s">
        <v>147</v>
      </c>
      <c r="I57" t="s">
        <v>134</v>
      </c>
      <c r="J57">
        <v>7.1</v>
      </c>
      <c r="K57" t="s">
        <v>135</v>
      </c>
    </row>
    <row r="58" spans="1:11" x14ac:dyDescent="0.35">
      <c r="A58" t="s">
        <v>90</v>
      </c>
      <c r="B58" t="s">
        <v>395</v>
      </c>
      <c r="C58" t="s">
        <v>396</v>
      </c>
      <c r="D58" t="s">
        <v>139</v>
      </c>
      <c r="E58" t="s">
        <v>172</v>
      </c>
      <c r="F58">
        <v>70</v>
      </c>
      <c r="G58" t="s">
        <v>135</v>
      </c>
      <c r="H58" t="s">
        <v>135</v>
      </c>
      <c r="I58" t="s">
        <v>135</v>
      </c>
      <c r="J58">
        <v>4</v>
      </c>
      <c r="K58" t="s">
        <v>135</v>
      </c>
    </row>
    <row r="59" spans="1:11" x14ac:dyDescent="0.35">
      <c r="A59" t="s">
        <v>90</v>
      </c>
      <c r="B59" t="s">
        <v>92</v>
      </c>
      <c r="C59" t="s">
        <v>397</v>
      </c>
      <c r="D59" t="s">
        <v>131</v>
      </c>
      <c r="E59" t="s">
        <v>132</v>
      </c>
      <c r="F59">
        <v>70</v>
      </c>
      <c r="G59" t="s">
        <v>146</v>
      </c>
      <c r="H59" t="s">
        <v>147</v>
      </c>
      <c r="I59" t="s">
        <v>134</v>
      </c>
      <c r="J59">
        <v>4.7</v>
      </c>
      <c r="K59" t="s">
        <v>135</v>
      </c>
    </row>
    <row r="60" spans="1:11" x14ac:dyDescent="0.35">
      <c r="A60" t="s">
        <v>90</v>
      </c>
      <c r="B60" t="s">
        <v>92</v>
      </c>
      <c r="C60" t="s">
        <v>398</v>
      </c>
      <c r="D60" t="s">
        <v>131</v>
      </c>
      <c r="E60" t="s">
        <v>132</v>
      </c>
      <c r="F60">
        <v>70</v>
      </c>
      <c r="G60" t="s">
        <v>133</v>
      </c>
      <c r="H60" t="s">
        <v>151</v>
      </c>
      <c r="I60" t="s">
        <v>134</v>
      </c>
      <c r="J60">
        <v>7.6</v>
      </c>
      <c r="K60" t="s">
        <v>135</v>
      </c>
    </row>
    <row r="61" spans="1:11" x14ac:dyDescent="0.35">
      <c r="A61" t="s">
        <v>90</v>
      </c>
      <c r="B61" t="s">
        <v>92</v>
      </c>
      <c r="C61" t="s">
        <v>399</v>
      </c>
      <c r="D61" t="s">
        <v>131</v>
      </c>
      <c r="E61" t="s">
        <v>132</v>
      </c>
      <c r="F61">
        <v>70</v>
      </c>
      <c r="G61" t="s">
        <v>133</v>
      </c>
      <c r="H61" t="s">
        <v>151</v>
      </c>
      <c r="I61" t="s">
        <v>134</v>
      </c>
      <c r="J61">
        <v>7.6</v>
      </c>
      <c r="K61" t="s">
        <v>400</v>
      </c>
    </row>
    <row r="62" spans="1:11" x14ac:dyDescent="0.35">
      <c r="A62" t="s">
        <v>90</v>
      </c>
      <c r="B62" t="s">
        <v>92</v>
      </c>
      <c r="C62" t="s">
        <v>401</v>
      </c>
      <c r="D62" t="s">
        <v>139</v>
      </c>
      <c r="E62" t="s">
        <v>132</v>
      </c>
      <c r="F62">
        <v>70</v>
      </c>
      <c r="G62" t="s">
        <v>135</v>
      </c>
      <c r="H62" t="s">
        <v>135</v>
      </c>
      <c r="I62" t="s">
        <v>134</v>
      </c>
      <c r="J62">
        <v>5.2</v>
      </c>
      <c r="K62" t="s">
        <v>135</v>
      </c>
    </row>
    <row r="63" spans="1:11" x14ac:dyDescent="0.35">
      <c r="A63" t="s">
        <v>114</v>
      </c>
      <c r="B63" t="s">
        <v>118</v>
      </c>
      <c r="C63" t="s">
        <v>402</v>
      </c>
      <c r="D63" t="s">
        <v>131</v>
      </c>
      <c r="E63" t="s">
        <v>149</v>
      </c>
      <c r="F63">
        <v>52.5</v>
      </c>
      <c r="G63" t="s">
        <v>146</v>
      </c>
      <c r="H63" t="s">
        <v>147</v>
      </c>
      <c r="I63" t="s">
        <v>135</v>
      </c>
      <c r="J63">
        <v>7</v>
      </c>
      <c r="K63" t="s">
        <v>135</v>
      </c>
    </row>
    <row r="64" spans="1:11" x14ac:dyDescent="0.35">
      <c r="A64" t="s">
        <v>114</v>
      </c>
      <c r="B64" t="s">
        <v>118</v>
      </c>
      <c r="C64" t="s">
        <v>403</v>
      </c>
      <c r="D64" t="s">
        <v>131</v>
      </c>
      <c r="E64" t="s">
        <v>132</v>
      </c>
      <c r="F64">
        <v>52.5</v>
      </c>
      <c r="G64" t="s">
        <v>146</v>
      </c>
      <c r="H64" t="s">
        <v>147</v>
      </c>
      <c r="I64" t="s">
        <v>135</v>
      </c>
      <c r="J64">
        <v>7</v>
      </c>
      <c r="K64" t="s">
        <v>135</v>
      </c>
    </row>
    <row r="65" spans="1:11" x14ac:dyDescent="0.35">
      <c r="A65" t="s">
        <v>114</v>
      </c>
      <c r="B65" t="s">
        <v>118</v>
      </c>
      <c r="C65" t="s">
        <v>404</v>
      </c>
      <c r="D65" t="s">
        <v>131</v>
      </c>
      <c r="E65" t="s">
        <v>132</v>
      </c>
      <c r="F65">
        <v>52.5</v>
      </c>
      <c r="G65" t="s">
        <v>146</v>
      </c>
      <c r="H65" t="s">
        <v>147</v>
      </c>
      <c r="I65" t="s">
        <v>135</v>
      </c>
      <c r="J65">
        <v>7</v>
      </c>
      <c r="K65" t="s">
        <v>135</v>
      </c>
    </row>
    <row r="66" spans="1:11" x14ac:dyDescent="0.35">
      <c r="A66" t="s">
        <v>93</v>
      </c>
      <c r="B66" t="s">
        <v>94</v>
      </c>
      <c r="C66" t="s">
        <v>405</v>
      </c>
      <c r="D66" t="s">
        <v>139</v>
      </c>
      <c r="E66" t="s">
        <v>149</v>
      </c>
      <c r="F66">
        <v>52.5</v>
      </c>
      <c r="G66" t="s">
        <v>133</v>
      </c>
      <c r="H66" t="s">
        <v>151</v>
      </c>
      <c r="I66" t="s">
        <v>134</v>
      </c>
      <c r="J66">
        <v>4.5</v>
      </c>
      <c r="K66" t="s">
        <v>135</v>
      </c>
    </row>
    <row r="67" spans="1:11" x14ac:dyDescent="0.35">
      <c r="A67" t="s">
        <v>93</v>
      </c>
      <c r="B67" t="s">
        <v>94</v>
      </c>
      <c r="C67" t="s">
        <v>406</v>
      </c>
      <c r="D67" t="s">
        <v>131</v>
      </c>
      <c r="E67" t="s">
        <v>132</v>
      </c>
      <c r="F67">
        <v>52.5</v>
      </c>
      <c r="G67" t="s">
        <v>133</v>
      </c>
      <c r="H67" t="s">
        <v>150</v>
      </c>
      <c r="I67" t="s">
        <v>134</v>
      </c>
      <c r="J67">
        <v>6.5</v>
      </c>
      <c r="K67" t="s">
        <v>135</v>
      </c>
    </row>
    <row r="68" spans="1:11" x14ac:dyDescent="0.35">
      <c r="A68" t="s">
        <v>93</v>
      </c>
      <c r="B68" t="s">
        <v>94</v>
      </c>
      <c r="C68" t="s">
        <v>407</v>
      </c>
      <c r="D68" t="s">
        <v>131</v>
      </c>
      <c r="E68" t="s">
        <v>140</v>
      </c>
      <c r="F68">
        <v>52.5</v>
      </c>
      <c r="G68" t="s">
        <v>133</v>
      </c>
      <c r="H68" t="s">
        <v>150</v>
      </c>
      <c r="I68" t="s">
        <v>134</v>
      </c>
      <c r="J68">
        <v>6.5</v>
      </c>
      <c r="K68" t="s">
        <v>135</v>
      </c>
    </row>
    <row r="69" spans="1:11" x14ac:dyDescent="0.35">
      <c r="A69" t="s">
        <v>93</v>
      </c>
      <c r="B69" t="s">
        <v>94</v>
      </c>
      <c r="C69" t="s">
        <v>408</v>
      </c>
      <c r="D69" t="s">
        <v>158</v>
      </c>
      <c r="E69" t="s">
        <v>268</v>
      </c>
      <c r="G69" t="s">
        <v>135</v>
      </c>
      <c r="H69" t="s">
        <v>135</v>
      </c>
      <c r="I69" t="s">
        <v>135</v>
      </c>
      <c r="K69" t="s">
        <v>135</v>
      </c>
    </row>
    <row r="70" spans="1:11" x14ac:dyDescent="0.35">
      <c r="A70" t="s">
        <v>93</v>
      </c>
      <c r="B70" t="s">
        <v>94</v>
      </c>
      <c r="C70" t="s">
        <v>409</v>
      </c>
      <c r="D70" t="s">
        <v>139</v>
      </c>
      <c r="E70" t="s">
        <v>132</v>
      </c>
      <c r="G70" t="s">
        <v>133</v>
      </c>
      <c r="H70" t="s">
        <v>151</v>
      </c>
      <c r="I70" t="s">
        <v>134</v>
      </c>
      <c r="J70">
        <v>4.5</v>
      </c>
      <c r="K70" t="s">
        <v>135</v>
      </c>
    </row>
    <row r="71" spans="1:11" x14ac:dyDescent="0.35">
      <c r="A71" t="s">
        <v>93</v>
      </c>
      <c r="B71" t="s">
        <v>94</v>
      </c>
      <c r="C71" t="s">
        <v>410</v>
      </c>
      <c r="D71" t="s">
        <v>158</v>
      </c>
      <c r="E71" t="s">
        <v>268</v>
      </c>
      <c r="G71" t="s">
        <v>135</v>
      </c>
      <c r="H71" t="s">
        <v>135</v>
      </c>
      <c r="I71" t="s">
        <v>135</v>
      </c>
      <c r="K71" t="s">
        <v>135</v>
      </c>
    </row>
    <row r="72" spans="1:11" x14ac:dyDescent="0.35">
      <c r="A72" t="s">
        <v>93</v>
      </c>
      <c r="B72" t="s">
        <v>94</v>
      </c>
      <c r="C72" t="s">
        <v>411</v>
      </c>
      <c r="D72" t="s">
        <v>139</v>
      </c>
      <c r="E72" t="s">
        <v>145</v>
      </c>
      <c r="G72" t="s">
        <v>133</v>
      </c>
      <c r="H72" t="s">
        <v>151</v>
      </c>
      <c r="I72" t="s">
        <v>134</v>
      </c>
      <c r="J72">
        <v>6.2</v>
      </c>
      <c r="K72" t="s">
        <v>135</v>
      </c>
    </row>
    <row r="73" spans="1:11" x14ac:dyDescent="0.35">
      <c r="A73" t="s">
        <v>93</v>
      </c>
      <c r="B73" t="s">
        <v>94</v>
      </c>
      <c r="C73" t="s">
        <v>412</v>
      </c>
      <c r="D73" t="s">
        <v>131</v>
      </c>
      <c r="E73" t="s">
        <v>132</v>
      </c>
      <c r="F73">
        <v>52.5</v>
      </c>
      <c r="G73" t="s">
        <v>133</v>
      </c>
      <c r="H73" t="s">
        <v>151</v>
      </c>
      <c r="I73" t="s">
        <v>134</v>
      </c>
      <c r="J73">
        <v>5</v>
      </c>
      <c r="K73" t="s">
        <v>135</v>
      </c>
    </row>
    <row r="74" spans="1:11" x14ac:dyDescent="0.35">
      <c r="A74" t="s">
        <v>95</v>
      </c>
      <c r="B74" t="s">
        <v>119</v>
      </c>
      <c r="C74" t="s">
        <v>413</v>
      </c>
      <c r="D74" t="s">
        <v>139</v>
      </c>
      <c r="E74" t="s">
        <v>145</v>
      </c>
      <c r="G74" t="s">
        <v>135</v>
      </c>
      <c r="H74" t="s">
        <v>135</v>
      </c>
      <c r="I74" t="s">
        <v>135</v>
      </c>
      <c r="K74" t="s">
        <v>135</v>
      </c>
    </row>
    <row r="75" spans="1:11" x14ac:dyDescent="0.35">
      <c r="A75" t="s">
        <v>95</v>
      </c>
      <c r="B75" t="s">
        <v>119</v>
      </c>
      <c r="C75" t="s">
        <v>414</v>
      </c>
      <c r="D75" t="s">
        <v>131</v>
      </c>
      <c r="E75" t="s">
        <v>145</v>
      </c>
      <c r="F75">
        <v>52.5</v>
      </c>
      <c r="G75" t="s">
        <v>415</v>
      </c>
      <c r="H75" t="s">
        <v>416</v>
      </c>
      <c r="I75" t="s">
        <v>135</v>
      </c>
      <c r="J75">
        <v>4.75</v>
      </c>
      <c r="K75" t="s">
        <v>135</v>
      </c>
    </row>
    <row r="76" spans="1:11" x14ac:dyDescent="0.35">
      <c r="A76" t="s">
        <v>95</v>
      </c>
      <c r="B76" t="s">
        <v>119</v>
      </c>
      <c r="C76" t="s">
        <v>417</v>
      </c>
      <c r="D76" t="s">
        <v>131</v>
      </c>
      <c r="E76" t="s">
        <v>132</v>
      </c>
      <c r="F76">
        <v>52.5</v>
      </c>
      <c r="G76" t="s">
        <v>154</v>
      </c>
      <c r="H76" t="s">
        <v>155</v>
      </c>
      <c r="I76" t="s">
        <v>178</v>
      </c>
      <c r="J76">
        <v>4.75</v>
      </c>
      <c r="K76" t="s">
        <v>135</v>
      </c>
    </row>
    <row r="77" spans="1:11" x14ac:dyDescent="0.35">
      <c r="A77" t="s">
        <v>95</v>
      </c>
      <c r="B77" t="s">
        <v>119</v>
      </c>
      <c r="C77" t="s">
        <v>418</v>
      </c>
      <c r="D77" t="s">
        <v>139</v>
      </c>
      <c r="E77" t="s">
        <v>172</v>
      </c>
      <c r="G77" t="s">
        <v>135</v>
      </c>
      <c r="H77" t="s">
        <v>135</v>
      </c>
      <c r="I77" t="s">
        <v>135</v>
      </c>
      <c r="K77" t="s">
        <v>135</v>
      </c>
    </row>
    <row r="78" spans="1:11" x14ac:dyDescent="0.35">
      <c r="A78" t="s">
        <v>95</v>
      </c>
      <c r="B78" t="s">
        <v>119</v>
      </c>
      <c r="C78" t="s">
        <v>419</v>
      </c>
      <c r="D78" t="s">
        <v>139</v>
      </c>
      <c r="E78" t="s">
        <v>145</v>
      </c>
      <c r="G78" t="s">
        <v>135</v>
      </c>
      <c r="H78" t="s">
        <v>135</v>
      </c>
      <c r="I78" t="s">
        <v>135</v>
      </c>
      <c r="K78" t="s">
        <v>135</v>
      </c>
    </row>
    <row r="79" spans="1:11" x14ac:dyDescent="0.35">
      <c r="A79" t="s">
        <v>96</v>
      </c>
      <c r="B79" t="s">
        <v>174</v>
      </c>
      <c r="C79" t="s">
        <v>420</v>
      </c>
      <c r="D79" t="s">
        <v>131</v>
      </c>
      <c r="E79" t="s">
        <v>132</v>
      </c>
      <c r="F79">
        <v>70</v>
      </c>
      <c r="G79" t="s">
        <v>133</v>
      </c>
      <c r="H79" t="s">
        <v>421</v>
      </c>
      <c r="I79" t="s">
        <v>422</v>
      </c>
      <c r="J79">
        <v>4.8</v>
      </c>
      <c r="K79" t="s">
        <v>135</v>
      </c>
    </row>
    <row r="80" spans="1:11" x14ac:dyDescent="0.35">
      <c r="A80" t="s">
        <v>96</v>
      </c>
      <c r="B80" t="s">
        <v>120</v>
      </c>
      <c r="C80" t="s">
        <v>423</v>
      </c>
      <c r="D80" t="s">
        <v>158</v>
      </c>
      <c r="E80" t="s">
        <v>278</v>
      </c>
      <c r="G80" t="s">
        <v>135</v>
      </c>
      <c r="H80" t="s">
        <v>135</v>
      </c>
      <c r="I80" t="s">
        <v>135</v>
      </c>
      <c r="K80" t="s">
        <v>135</v>
      </c>
    </row>
    <row r="81" spans="1:11" x14ac:dyDescent="0.35">
      <c r="A81" t="s">
        <v>96</v>
      </c>
      <c r="B81" t="s">
        <v>120</v>
      </c>
      <c r="C81" t="s">
        <v>424</v>
      </c>
      <c r="D81" t="s">
        <v>158</v>
      </c>
      <c r="E81" t="s">
        <v>278</v>
      </c>
      <c r="G81" t="s">
        <v>135</v>
      </c>
      <c r="H81" t="s">
        <v>135</v>
      </c>
      <c r="I81" t="s">
        <v>135</v>
      </c>
      <c r="K81" t="s">
        <v>135</v>
      </c>
    </row>
    <row r="82" spans="1:11" x14ac:dyDescent="0.35">
      <c r="A82" t="s">
        <v>96</v>
      </c>
      <c r="B82" t="s">
        <v>120</v>
      </c>
      <c r="C82" t="s">
        <v>425</v>
      </c>
      <c r="D82" t="s">
        <v>158</v>
      </c>
      <c r="E82" t="s">
        <v>278</v>
      </c>
      <c r="G82" t="s">
        <v>135</v>
      </c>
      <c r="H82" t="s">
        <v>135</v>
      </c>
      <c r="I82" t="s">
        <v>135</v>
      </c>
      <c r="K82" t="s">
        <v>135</v>
      </c>
    </row>
    <row r="83" spans="1:11" x14ac:dyDescent="0.35">
      <c r="A83" t="s">
        <v>96</v>
      </c>
      <c r="B83" t="s">
        <v>120</v>
      </c>
      <c r="C83" t="s">
        <v>426</v>
      </c>
      <c r="D83" t="s">
        <v>139</v>
      </c>
      <c r="E83" t="s">
        <v>132</v>
      </c>
      <c r="G83" t="s">
        <v>135</v>
      </c>
      <c r="H83" t="s">
        <v>135</v>
      </c>
      <c r="I83" t="s">
        <v>135</v>
      </c>
      <c r="K83" t="s">
        <v>135</v>
      </c>
    </row>
    <row r="84" spans="1:11" x14ac:dyDescent="0.35">
      <c r="A84" t="s">
        <v>96</v>
      </c>
      <c r="B84" t="s">
        <v>120</v>
      </c>
      <c r="C84" t="s">
        <v>427</v>
      </c>
      <c r="D84" t="s">
        <v>139</v>
      </c>
      <c r="E84" t="s">
        <v>132</v>
      </c>
      <c r="G84" t="s">
        <v>135</v>
      </c>
      <c r="H84" t="s">
        <v>135</v>
      </c>
      <c r="I84" t="s">
        <v>135</v>
      </c>
      <c r="K84" t="s">
        <v>135</v>
      </c>
    </row>
    <row r="85" spans="1:11" x14ac:dyDescent="0.35">
      <c r="A85" t="s">
        <v>96</v>
      </c>
      <c r="B85" t="s">
        <v>120</v>
      </c>
      <c r="C85" t="s">
        <v>428</v>
      </c>
      <c r="D85" t="s">
        <v>139</v>
      </c>
      <c r="E85" t="s">
        <v>132</v>
      </c>
      <c r="G85" t="s">
        <v>135</v>
      </c>
      <c r="H85" t="s">
        <v>135</v>
      </c>
      <c r="I85" t="s">
        <v>135</v>
      </c>
      <c r="K85" t="s">
        <v>135</v>
      </c>
    </row>
    <row r="86" spans="1:11" x14ac:dyDescent="0.35">
      <c r="A86" t="s">
        <v>96</v>
      </c>
      <c r="B86" t="s">
        <v>429</v>
      </c>
      <c r="C86" t="s">
        <v>430</v>
      </c>
      <c r="D86" t="s">
        <v>131</v>
      </c>
      <c r="E86" t="s">
        <v>132</v>
      </c>
      <c r="F86">
        <v>70</v>
      </c>
      <c r="G86" t="s">
        <v>133</v>
      </c>
      <c r="H86" t="s">
        <v>431</v>
      </c>
      <c r="I86" t="s">
        <v>432</v>
      </c>
      <c r="J86">
        <v>6.5</v>
      </c>
      <c r="K86" t="s">
        <v>135</v>
      </c>
    </row>
    <row r="87" spans="1:11" x14ac:dyDescent="0.35">
      <c r="A87" t="s">
        <v>96</v>
      </c>
      <c r="B87" t="s">
        <v>429</v>
      </c>
      <c r="C87" t="s">
        <v>433</v>
      </c>
      <c r="D87" t="s">
        <v>131</v>
      </c>
      <c r="E87" t="s">
        <v>132</v>
      </c>
      <c r="F87">
        <v>70</v>
      </c>
      <c r="G87" t="s">
        <v>133</v>
      </c>
      <c r="H87" t="s">
        <v>431</v>
      </c>
      <c r="I87" t="s">
        <v>434</v>
      </c>
      <c r="J87">
        <v>6.5</v>
      </c>
      <c r="K87" t="s">
        <v>135</v>
      </c>
    </row>
    <row r="88" spans="1:11" x14ac:dyDescent="0.35">
      <c r="A88" t="s">
        <v>96</v>
      </c>
      <c r="B88" t="s">
        <v>435</v>
      </c>
      <c r="C88" t="s">
        <v>436</v>
      </c>
      <c r="D88" t="s">
        <v>139</v>
      </c>
      <c r="E88" t="s">
        <v>145</v>
      </c>
      <c r="G88" t="s">
        <v>135</v>
      </c>
      <c r="H88" t="s">
        <v>135</v>
      </c>
      <c r="I88" t="s">
        <v>135</v>
      </c>
      <c r="K88" t="s">
        <v>135</v>
      </c>
    </row>
    <row r="89" spans="1:11" x14ac:dyDescent="0.35">
      <c r="A89" t="s">
        <v>96</v>
      </c>
      <c r="B89" t="s">
        <v>435</v>
      </c>
      <c r="C89" t="s">
        <v>437</v>
      </c>
      <c r="D89" t="s">
        <v>139</v>
      </c>
      <c r="E89" t="s">
        <v>145</v>
      </c>
      <c r="G89" t="s">
        <v>135</v>
      </c>
      <c r="H89" t="s">
        <v>135</v>
      </c>
      <c r="I89" t="s">
        <v>135</v>
      </c>
      <c r="K89" t="s">
        <v>135</v>
      </c>
    </row>
    <row r="90" spans="1:11" x14ac:dyDescent="0.35">
      <c r="A90" t="s">
        <v>96</v>
      </c>
      <c r="B90" t="s">
        <v>435</v>
      </c>
      <c r="C90" t="s">
        <v>438</v>
      </c>
      <c r="D90" t="s">
        <v>139</v>
      </c>
      <c r="E90" t="s">
        <v>145</v>
      </c>
      <c r="G90" t="s">
        <v>135</v>
      </c>
      <c r="H90" t="s">
        <v>135</v>
      </c>
      <c r="I90" t="s">
        <v>135</v>
      </c>
      <c r="K90" t="s">
        <v>135</v>
      </c>
    </row>
    <row r="91" spans="1:11" x14ac:dyDescent="0.35">
      <c r="A91" t="s">
        <v>96</v>
      </c>
      <c r="B91" t="s">
        <v>439</v>
      </c>
      <c r="C91" t="s">
        <v>440</v>
      </c>
      <c r="D91" t="s">
        <v>139</v>
      </c>
      <c r="E91" t="s">
        <v>145</v>
      </c>
      <c r="G91" t="s">
        <v>135</v>
      </c>
      <c r="H91" t="s">
        <v>135</v>
      </c>
      <c r="I91" t="s">
        <v>135</v>
      </c>
      <c r="K91" t="s">
        <v>135</v>
      </c>
    </row>
    <row r="92" spans="1:11" x14ac:dyDescent="0.35">
      <c r="A92" t="s">
        <v>96</v>
      </c>
      <c r="B92" t="s">
        <v>152</v>
      </c>
      <c r="C92" t="s">
        <v>441</v>
      </c>
      <c r="D92" t="s">
        <v>139</v>
      </c>
      <c r="E92" t="s">
        <v>270</v>
      </c>
      <c r="G92" t="s">
        <v>135</v>
      </c>
      <c r="H92" t="s">
        <v>135</v>
      </c>
      <c r="I92" t="s">
        <v>135</v>
      </c>
      <c r="K92" t="s">
        <v>135</v>
      </c>
    </row>
    <row r="93" spans="1:11" x14ac:dyDescent="0.35">
      <c r="A93" t="s">
        <v>97</v>
      </c>
      <c r="B93" t="s">
        <v>98</v>
      </c>
      <c r="C93" t="s">
        <v>442</v>
      </c>
      <c r="D93" t="s">
        <v>158</v>
      </c>
      <c r="E93" t="s">
        <v>278</v>
      </c>
      <c r="G93" t="s">
        <v>135</v>
      </c>
      <c r="H93" t="s">
        <v>135</v>
      </c>
      <c r="I93" t="s">
        <v>135</v>
      </c>
      <c r="K93" t="s">
        <v>135</v>
      </c>
    </row>
    <row r="94" spans="1:11" x14ac:dyDescent="0.35">
      <c r="A94" t="s">
        <v>97</v>
      </c>
      <c r="B94" t="s">
        <v>98</v>
      </c>
      <c r="C94" t="s">
        <v>443</v>
      </c>
      <c r="D94" t="s">
        <v>158</v>
      </c>
      <c r="E94" t="s">
        <v>278</v>
      </c>
      <c r="G94" t="s">
        <v>135</v>
      </c>
      <c r="H94" t="s">
        <v>135</v>
      </c>
      <c r="I94" t="s">
        <v>135</v>
      </c>
      <c r="K94" t="s">
        <v>135</v>
      </c>
    </row>
    <row r="95" spans="1:11" x14ac:dyDescent="0.35">
      <c r="A95" t="s">
        <v>97</v>
      </c>
      <c r="B95" t="s">
        <v>175</v>
      </c>
      <c r="C95" t="s">
        <v>444</v>
      </c>
      <c r="D95" t="s">
        <v>158</v>
      </c>
      <c r="E95" t="s">
        <v>278</v>
      </c>
      <c r="G95" t="s">
        <v>135</v>
      </c>
      <c r="H95" t="s">
        <v>135</v>
      </c>
      <c r="I95" t="s">
        <v>135</v>
      </c>
      <c r="K95" t="s">
        <v>135</v>
      </c>
    </row>
    <row r="96" spans="1:11" x14ac:dyDescent="0.35">
      <c r="A96" t="s">
        <v>97</v>
      </c>
      <c r="B96" t="s">
        <v>176</v>
      </c>
      <c r="C96" t="s">
        <v>445</v>
      </c>
      <c r="D96" t="s">
        <v>131</v>
      </c>
      <c r="E96" t="s">
        <v>132</v>
      </c>
      <c r="F96">
        <v>52.5</v>
      </c>
      <c r="G96" t="s">
        <v>154</v>
      </c>
      <c r="H96" t="s">
        <v>446</v>
      </c>
      <c r="I96" t="s">
        <v>153</v>
      </c>
      <c r="J96">
        <v>4.75</v>
      </c>
      <c r="K96" t="s">
        <v>135</v>
      </c>
    </row>
    <row r="97" spans="1:11" x14ac:dyDescent="0.35">
      <c r="A97" t="s">
        <v>97</v>
      </c>
      <c r="B97" t="s">
        <v>176</v>
      </c>
      <c r="C97" t="s">
        <v>177</v>
      </c>
      <c r="D97" t="s">
        <v>158</v>
      </c>
      <c r="E97" t="s">
        <v>447</v>
      </c>
      <c r="G97" t="s">
        <v>135</v>
      </c>
      <c r="H97" t="s">
        <v>135</v>
      </c>
      <c r="I97" t="s">
        <v>135</v>
      </c>
      <c r="K97" t="s">
        <v>135</v>
      </c>
    </row>
    <row r="98" spans="1:11" x14ac:dyDescent="0.35">
      <c r="A98" t="s">
        <v>97</v>
      </c>
      <c r="B98" t="s">
        <v>176</v>
      </c>
      <c r="C98" t="s">
        <v>179</v>
      </c>
      <c r="D98" t="s">
        <v>158</v>
      </c>
      <c r="E98" t="s">
        <v>447</v>
      </c>
      <c r="G98" t="s">
        <v>135</v>
      </c>
      <c r="H98" t="s">
        <v>135</v>
      </c>
      <c r="I98" t="s">
        <v>135</v>
      </c>
      <c r="K98" t="s">
        <v>135</v>
      </c>
    </row>
    <row r="99" spans="1:11" x14ac:dyDescent="0.35">
      <c r="A99" t="s">
        <v>97</v>
      </c>
      <c r="B99" t="s">
        <v>176</v>
      </c>
      <c r="C99" t="s">
        <v>341</v>
      </c>
      <c r="D99" t="s">
        <v>131</v>
      </c>
      <c r="E99" t="s">
        <v>156</v>
      </c>
      <c r="F99">
        <v>52.5</v>
      </c>
      <c r="G99" t="s">
        <v>154</v>
      </c>
      <c r="H99" t="s">
        <v>155</v>
      </c>
      <c r="I99" t="s">
        <v>178</v>
      </c>
      <c r="J99">
        <v>6.3</v>
      </c>
      <c r="K99" t="s">
        <v>135</v>
      </c>
    </row>
    <row r="100" spans="1:11" x14ac:dyDescent="0.35">
      <c r="A100" t="s">
        <v>97</v>
      </c>
      <c r="B100" t="s">
        <v>176</v>
      </c>
      <c r="C100" t="s">
        <v>448</v>
      </c>
      <c r="D100" t="s">
        <v>158</v>
      </c>
      <c r="E100" t="s">
        <v>447</v>
      </c>
      <c r="G100" t="s">
        <v>135</v>
      </c>
      <c r="H100" t="s">
        <v>135</v>
      </c>
      <c r="I100" t="s">
        <v>135</v>
      </c>
      <c r="K100" t="s">
        <v>135</v>
      </c>
    </row>
    <row r="101" spans="1:11" x14ac:dyDescent="0.35">
      <c r="A101" t="s">
        <v>97</v>
      </c>
      <c r="B101" t="s">
        <v>176</v>
      </c>
      <c r="C101" t="s">
        <v>449</v>
      </c>
      <c r="D101" t="s">
        <v>158</v>
      </c>
      <c r="E101" t="s">
        <v>447</v>
      </c>
      <c r="G101" t="s">
        <v>135</v>
      </c>
      <c r="H101" t="s">
        <v>135</v>
      </c>
      <c r="I101" t="s">
        <v>135</v>
      </c>
      <c r="K101" t="s">
        <v>135</v>
      </c>
    </row>
    <row r="102" spans="1:11" x14ac:dyDescent="0.35">
      <c r="A102" t="s">
        <v>97</v>
      </c>
      <c r="B102" t="s">
        <v>176</v>
      </c>
      <c r="C102" t="s">
        <v>450</v>
      </c>
      <c r="D102" t="s">
        <v>139</v>
      </c>
      <c r="E102" t="s">
        <v>159</v>
      </c>
      <c r="G102" t="s">
        <v>135</v>
      </c>
      <c r="H102" t="s">
        <v>135</v>
      </c>
      <c r="I102" t="s">
        <v>135</v>
      </c>
      <c r="K102" t="s">
        <v>135</v>
      </c>
    </row>
    <row r="103" spans="1:11" x14ac:dyDescent="0.35">
      <c r="A103" t="s">
        <v>97</v>
      </c>
      <c r="B103" t="s">
        <v>176</v>
      </c>
      <c r="C103" t="s">
        <v>342</v>
      </c>
      <c r="D103" t="s">
        <v>131</v>
      </c>
      <c r="E103" t="s">
        <v>137</v>
      </c>
      <c r="F103">
        <v>52.5</v>
      </c>
      <c r="G103" t="s">
        <v>154</v>
      </c>
      <c r="H103" t="s">
        <v>446</v>
      </c>
      <c r="I103" t="s">
        <v>153</v>
      </c>
      <c r="J103">
        <v>6.3</v>
      </c>
      <c r="K103" t="s">
        <v>135</v>
      </c>
    </row>
    <row r="104" spans="1:11" x14ac:dyDescent="0.35">
      <c r="A104" t="s">
        <v>97</v>
      </c>
      <c r="B104" t="s">
        <v>180</v>
      </c>
      <c r="C104" t="s">
        <v>451</v>
      </c>
      <c r="D104" t="s">
        <v>158</v>
      </c>
      <c r="E104" t="s">
        <v>140</v>
      </c>
      <c r="G104" t="s">
        <v>135</v>
      </c>
      <c r="H104" t="s">
        <v>135</v>
      </c>
      <c r="I104" t="s">
        <v>135</v>
      </c>
      <c r="K104" t="s">
        <v>135</v>
      </c>
    </row>
    <row r="105" spans="1:11" x14ac:dyDescent="0.35">
      <c r="A105" t="s">
        <v>97</v>
      </c>
      <c r="B105" t="s">
        <v>180</v>
      </c>
      <c r="C105" t="s">
        <v>181</v>
      </c>
      <c r="D105" t="s">
        <v>158</v>
      </c>
      <c r="E105" t="s">
        <v>268</v>
      </c>
      <c r="G105" t="s">
        <v>135</v>
      </c>
      <c r="H105" t="s">
        <v>135</v>
      </c>
      <c r="I105" t="s">
        <v>135</v>
      </c>
      <c r="K105" t="s">
        <v>135</v>
      </c>
    </row>
    <row r="106" spans="1:11" x14ac:dyDescent="0.35">
      <c r="A106" t="s">
        <v>97</v>
      </c>
      <c r="B106" t="s">
        <v>99</v>
      </c>
      <c r="C106" t="s">
        <v>452</v>
      </c>
      <c r="D106" t="s">
        <v>158</v>
      </c>
      <c r="E106" t="s">
        <v>268</v>
      </c>
      <c r="G106" t="s">
        <v>135</v>
      </c>
      <c r="H106" t="s">
        <v>135</v>
      </c>
      <c r="I106" t="s">
        <v>135</v>
      </c>
      <c r="K106" t="s">
        <v>135</v>
      </c>
    </row>
    <row r="107" spans="1:11" x14ac:dyDescent="0.35">
      <c r="A107" t="s">
        <v>97</v>
      </c>
      <c r="B107" t="s">
        <v>99</v>
      </c>
      <c r="C107" t="s">
        <v>453</v>
      </c>
      <c r="D107" t="s">
        <v>158</v>
      </c>
      <c r="E107" t="s">
        <v>268</v>
      </c>
      <c r="G107" t="s">
        <v>135</v>
      </c>
      <c r="H107" t="s">
        <v>135</v>
      </c>
      <c r="I107" t="s">
        <v>135</v>
      </c>
      <c r="K107" t="s">
        <v>135</v>
      </c>
    </row>
    <row r="108" spans="1:11" x14ac:dyDescent="0.35">
      <c r="A108" t="s">
        <v>97</v>
      </c>
      <c r="B108" t="s">
        <v>99</v>
      </c>
      <c r="C108" t="s">
        <v>454</v>
      </c>
      <c r="D108" t="s">
        <v>131</v>
      </c>
      <c r="E108" t="s">
        <v>132</v>
      </c>
      <c r="F108">
        <v>52.5</v>
      </c>
      <c r="G108" t="s">
        <v>134</v>
      </c>
      <c r="H108" t="s">
        <v>329</v>
      </c>
      <c r="I108" t="s">
        <v>135</v>
      </c>
      <c r="J108">
        <v>7.15</v>
      </c>
      <c r="K108" t="s">
        <v>135</v>
      </c>
    </row>
    <row r="109" spans="1:11" x14ac:dyDescent="0.35">
      <c r="A109" t="s">
        <v>97</v>
      </c>
      <c r="B109" t="s">
        <v>99</v>
      </c>
      <c r="C109" t="s">
        <v>455</v>
      </c>
      <c r="D109" t="s">
        <v>131</v>
      </c>
      <c r="E109" t="s">
        <v>132</v>
      </c>
      <c r="F109">
        <v>52.5</v>
      </c>
      <c r="G109" t="s">
        <v>134</v>
      </c>
      <c r="H109" t="s">
        <v>329</v>
      </c>
      <c r="I109" t="s">
        <v>135</v>
      </c>
      <c r="J109">
        <v>7.15</v>
      </c>
      <c r="K109" t="s">
        <v>135</v>
      </c>
    </row>
    <row r="110" spans="1:11" x14ac:dyDescent="0.35">
      <c r="A110" t="s">
        <v>97</v>
      </c>
      <c r="B110" t="s">
        <v>99</v>
      </c>
      <c r="C110" t="s">
        <v>456</v>
      </c>
      <c r="D110" t="s">
        <v>131</v>
      </c>
      <c r="E110" t="s">
        <v>132</v>
      </c>
      <c r="F110">
        <v>52.5</v>
      </c>
      <c r="G110" t="s">
        <v>133</v>
      </c>
      <c r="H110" t="s">
        <v>150</v>
      </c>
      <c r="I110" t="s">
        <v>457</v>
      </c>
      <c r="J110">
        <v>4.75</v>
      </c>
      <c r="K110" t="s">
        <v>135</v>
      </c>
    </row>
    <row r="111" spans="1:11" x14ac:dyDescent="0.35">
      <c r="A111" t="s">
        <v>97</v>
      </c>
      <c r="B111" t="s">
        <v>99</v>
      </c>
      <c r="C111" t="s">
        <v>458</v>
      </c>
      <c r="D111" t="s">
        <v>131</v>
      </c>
      <c r="E111" t="s">
        <v>132</v>
      </c>
      <c r="F111">
        <v>52.5</v>
      </c>
      <c r="G111" t="s">
        <v>133</v>
      </c>
      <c r="H111" t="s">
        <v>150</v>
      </c>
      <c r="I111" t="s">
        <v>457</v>
      </c>
      <c r="J111">
        <v>5.25</v>
      </c>
      <c r="K111" t="s">
        <v>135</v>
      </c>
    </row>
    <row r="112" spans="1:11" x14ac:dyDescent="0.35">
      <c r="A112" t="s">
        <v>97</v>
      </c>
      <c r="B112" t="s">
        <v>100</v>
      </c>
      <c r="C112" t="s">
        <v>343</v>
      </c>
      <c r="D112" t="s">
        <v>131</v>
      </c>
      <c r="E112" t="s">
        <v>156</v>
      </c>
      <c r="F112">
        <v>52.5</v>
      </c>
      <c r="G112" t="s">
        <v>133</v>
      </c>
      <c r="H112" t="s">
        <v>173</v>
      </c>
      <c r="I112" t="s">
        <v>182</v>
      </c>
      <c r="J112">
        <v>7.15</v>
      </c>
      <c r="K112" t="s">
        <v>135</v>
      </c>
    </row>
    <row r="113" spans="1:11" x14ac:dyDescent="0.35">
      <c r="A113" t="s">
        <v>97</v>
      </c>
      <c r="B113" t="s">
        <v>100</v>
      </c>
      <c r="C113" t="s">
        <v>459</v>
      </c>
      <c r="D113" t="s">
        <v>139</v>
      </c>
      <c r="E113" t="s">
        <v>159</v>
      </c>
      <c r="F113">
        <v>52.5</v>
      </c>
      <c r="G113" t="s">
        <v>135</v>
      </c>
      <c r="H113" t="s">
        <v>135</v>
      </c>
      <c r="I113" t="s">
        <v>135</v>
      </c>
      <c r="K113" t="s">
        <v>135</v>
      </c>
    </row>
    <row r="114" spans="1:11" x14ac:dyDescent="0.35">
      <c r="A114" t="s">
        <v>97</v>
      </c>
      <c r="B114" t="s">
        <v>100</v>
      </c>
      <c r="C114" t="s">
        <v>460</v>
      </c>
      <c r="D114" t="s">
        <v>139</v>
      </c>
      <c r="E114" t="s">
        <v>159</v>
      </c>
      <c r="G114" t="s">
        <v>135</v>
      </c>
      <c r="H114" t="s">
        <v>135</v>
      </c>
      <c r="I114" t="s">
        <v>135</v>
      </c>
      <c r="K114" t="s">
        <v>135</v>
      </c>
    </row>
    <row r="115" spans="1:11" x14ac:dyDescent="0.35">
      <c r="A115" t="s">
        <v>97</v>
      </c>
      <c r="B115" t="s">
        <v>100</v>
      </c>
      <c r="C115" t="s">
        <v>461</v>
      </c>
      <c r="D115" t="s">
        <v>139</v>
      </c>
      <c r="E115" t="s">
        <v>159</v>
      </c>
      <c r="G115" t="s">
        <v>135</v>
      </c>
      <c r="H115" t="s">
        <v>135</v>
      </c>
      <c r="I115" t="s">
        <v>135</v>
      </c>
      <c r="K115" t="s">
        <v>135</v>
      </c>
    </row>
    <row r="116" spans="1:11" x14ac:dyDescent="0.35">
      <c r="A116" t="s">
        <v>97</v>
      </c>
      <c r="B116" t="s">
        <v>100</v>
      </c>
      <c r="C116" t="s">
        <v>183</v>
      </c>
      <c r="D116" t="s">
        <v>158</v>
      </c>
      <c r="E116" t="s">
        <v>268</v>
      </c>
      <c r="G116" t="s">
        <v>135</v>
      </c>
      <c r="H116" t="s">
        <v>135</v>
      </c>
      <c r="I116" t="s">
        <v>135</v>
      </c>
      <c r="K116" t="s">
        <v>135</v>
      </c>
    </row>
    <row r="117" spans="1:11" x14ac:dyDescent="0.35">
      <c r="A117" t="s">
        <v>97</v>
      </c>
      <c r="B117" t="s">
        <v>100</v>
      </c>
      <c r="C117" t="s">
        <v>462</v>
      </c>
      <c r="D117" t="s">
        <v>139</v>
      </c>
      <c r="E117" t="s">
        <v>159</v>
      </c>
      <c r="G117" t="s">
        <v>135</v>
      </c>
      <c r="H117" t="s">
        <v>135</v>
      </c>
      <c r="I117" t="s">
        <v>135</v>
      </c>
      <c r="K117" t="s">
        <v>135</v>
      </c>
    </row>
    <row r="118" spans="1:11" x14ac:dyDescent="0.35">
      <c r="A118" t="s">
        <v>97</v>
      </c>
      <c r="B118" t="s">
        <v>100</v>
      </c>
      <c r="C118" t="s">
        <v>344</v>
      </c>
      <c r="D118" t="s">
        <v>131</v>
      </c>
      <c r="E118" t="s">
        <v>156</v>
      </c>
      <c r="F118">
        <v>52.5</v>
      </c>
      <c r="G118" t="s">
        <v>133</v>
      </c>
      <c r="H118" t="s">
        <v>173</v>
      </c>
      <c r="I118" t="s">
        <v>182</v>
      </c>
      <c r="J118">
        <v>7.15</v>
      </c>
      <c r="K118" t="s">
        <v>135</v>
      </c>
    </row>
    <row r="119" spans="1:11" x14ac:dyDescent="0.35">
      <c r="A119" t="s">
        <v>97</v>
      </c>
      <c r="B119" t="s">
        <v>100</v>
      </c>
      <c r="C119" t="s">
        <v>345</v>
      </c>
      <c r="D119" t="s">
        <v>131</v>
      </c>
      <c r="E119" t="s">
        <v>156</v>
      </c>
      <c r="F119">
        <v>52.5</v>
      </c>
      <c r="G119" t="s">
        <v>133</v>
      </c>
      <c r="H119" t="s">
        <v>173</v>
      </c>
      <c r="I119" t="s">
        <v>182</v>
      </c>
      <c r="J119">
        <v>7.15</v>
      </c>
      <c r="K119" t="s">
        <v>135</v>
      </c>
    </row>
    <row r="120" spans="1:11" x14ac:dyDescent="0.35">
      <c r="A120" t="s">
        <v>97</v>
      </c>
      <c r="B120" t="s">
        <v>184</v>
      </c>
      <c r="C120" t="s">
        <v>463</v>
      </c>
      <c r="D120" t="s">
        <v>139</v>
      </c>
      <c r="E120" t="s">
        <v>132</v>
      </c>
      <c r="G120" t="s">
        <v>135</v>
      </c>
      <c r="H120" t="s">
        <v>135</v>
      </c>
      <c r="I120" t="s">
        <v>135</v>
      </c>
      <c r="K120" t="s">
        <v>135</v>
      </c>
    </row>
    <row r="121" spans="1:11" x14ac:dyDescent="0.35">
      <c r="A121" t="s">
        <v>97</v>
      </c>
      <c r="B121" t="s">
        <v>186</v>
      </c>
      <c r="C121" t="s">
        <v>464</v>
      </c>
      <c r="D121" t="s">
        <v>158</v>
      </c>
      <c r="E121" t="s">
        <v>447</v>
      </c>
      <c r="G121" t="s">
        <v>135</v>
      </c>
      <c r="H121" t="s">
        <v>135</v>
      </c>
      <c r="I121" t="s">
        <v>135</v>
      </c>
      <c r="K121" t="s">
        <v>135</v>
      </c>
    </row>
    <row r="122" spans="1:11" x14ac:dyDescent="0.35">
      <c r="A122" t="s">
        <v>97</v>
      </c>
      <c r="B122" t="s">
        <v>186</v>
      </c>
      <c r="C122" t="s">
        <v>465</v>
      </c>
      <c r="D122" t="s">
        <v>131</v>
      </c>
      <c r="E122" t="s">
        <v>132</v>
      </c>
      <c r="F122">
        <v>52.5</v>
      </c>
      <c r="G122" t="s">
        <v>154</v>
      </c>
      <c r="H122" t="s">
        <v>155</v>
      </c>
      <c r="I122" t="s">
        <v>466</v>
      </c>
      <c r="J122">
        <v>7.15</v>
      </c>
      <c r="K122" t="s">
        <v>135</v>
      </c>
    </row>
    <row r="123" spans="1:11" x14ac:dyDescent="0.35">
      <c r="A123" t="s">
        <v>97</v>
      </c>
      <c r="B123" t="s">
        <v>186</v>
      </c>
      <c r="C123" t="s">
        <v>467</v>
      </c>
      <c r="D123" t="s">
        <v>131</v>
      </c>
      <c r="E123" t="s">
        <v>132</v>
      </c>
      <c r="F123">
        <v>52.5</v>
      </c>
      <c r="G123" t="s">
        <v>154</v>
      </c>
      <c r="H123" t="s">
        <v>155</v>
      </c>
      <c r="I123" t="s">
        <v>466</v>
      </c>
      <c r="J123">
        <v>7.15</v>
      </c>
      <c r="K123" t="s">
        <v>135</v>
      </c>
    </row>
    <row r="124" spans="1:11" x14ac:dyDescent="0.35">
      <c r="A124" t="s">
        <v>97</v>
      </c>
      <c r="B124" t="s">
        <v>187</v>
      </c>
      <c r="C124" t="s">
        <v>468</v>
      </c>
      <c r="D124" t="s">
        <v>158</v>
      </c>
      <c r="E124" t="s">
        <v>268</v>
      </c>
      <c r="G124" t="s">
        <v>135</v>
      </c>
      <c r="H124" t="s">
        <v>135</v>
      </c>
      <c r="I124" t="s">
        <v>135</v>
      </c>
      <c r="K124" t="s">
        <v>135</v>
      </c>
    </row>
    <row r="125" spans="1:11" x14ac:dyDescent="0.35">
      <c r="A125" t="s">
        <v>97</v>
      </c>
      <c r="B125" t="s">
        <v>101</v>
      </c>
      <c r="C125" t="s">
        <v>346</v>
      </c>
      <c r="D125" t="s">
        <v>131</v>
      </c>
      <c r="E125" t="s">
        <v>137</v>
      </c>
      <c r="F125">
        <v>52.5</v>
      </c>
      <c r="G125" t="s">
        <v>133</v>
      </c>
      <c r="H125" t="s">
        <v>340</v>
      </c>
      <c r="I125" t="s">
        <v>469</v>
      </c>
      <c r="J125">
        <v>7.15</v>
      </c>
      <c r="K125" t="s">
        <v>135</v>
      </c>
    </row>
    <row r="126" spans="1:11" x14ac:dyDescent="0.35">
      <c r="A126" t="s">
        <v>97</v>
      </c>
      <c r="B126" t="s">
        <v>101</v>
      </c>
      <c r="C126" t="s">
        <v>470</v>
      </c>
      <c r="D126" t="s">
        <v>139</v>
      </c>
      <c r="E126" t="s">
        <v>159</v>
      </c>
      <c r="G126" t="s">
        <v>135</v>
      </c>
      <c r="H126" t="s">
        <v>135</v>
      </c>
      <c r="I126" t="s">
        <v>134</v>
      </c>
      <c r="K126" t="s">
        <v>135</v>
      </c>
    </row>
    <row r="127" spans="1:11" x14ac:dyDescent="0.35">
      <c r="A127" t="s">
        <v>97</v>
      </c>
      <c r="B127" t="s">
        <v>471</v>
      </c>
      <c r="C127" t="s">
        <v>472</v>
      </c>
      <c r="D127" t="s">
        <v>139</v>
      </c>
      <c r="E127" t="s">
        <v>172</v>
      </c>
      <c r="G127" t="s">
        <v>135</v>
      </c>
      <c r="H127" t="s">
        <v>135</v>
      </c>
      <c r="I127" t="s">
        <v>135</v>
      </c>
      <c r="K127" t="s">
        <v>135</v>
      </c>
    </row>
    <row r="128" spans="1:11" x14ac:dyDescent="0.35">
      <c r="A128" t="s">
        <v>97</v>
      </c>
      <c r="B128" t="s">
        <v>471</v>
      </c>
      <c r="C128" t="s">
        <v>473</v>
      </c>
      <c r="D128" t="s">
        <v>158</v>
      </c>
      <c r="E128" t="s">
        <v>270</v>
      </c>
      <c r="G128" t="s">
        <v>135</v>
      </c>
      <c r="H128" t="s">
        <v>135</v>
      </c>
      <c r="I128" t="s">
        <v>135</v>
      </c>
      <c r="K128" t="s">
        <v>135</v>
      </c>
    </row>
    <row r="129" spans="1:11" x14ac:dyDescent="0.35">
      <c r="A129" t="s">
        <v>97</v>
      </c>
      <c r="B129" t="s">
        <v>474</v>
      </c>
      <c r="C129" t="s">
        <v>475</v>
      </c>
      <c r="D129" t="s">
        <v>139</v>
      </c>
      <c r="E129" t="s">
        <v>172</v>
      </c>
      <c r="G129" t="s">
        <v>135</v>
      </c>
      <c r="H129" t="s">
        <v>135</v>
      </c>
      <c r="I129" t="s">
        <v>135</v>
      </c>
      <c r="K129" t="s">
        <v>135</v>
      </c>
    </row>
    <row r="130" spans="1:11" x14ac:dyDescent="0.35">
      <c r="A130" t="s">
        <v>97</v>
      </c>
      <c r="B130" t="s">
        <v>474</v>
      </c>
      <c r="C130" t="s">
        <v>476</v>
      </c>
      <c r="D130" t="s">
        <v>131</v>
      </c>
      <c r="E130" t="s">
        <v>132</v>
      </c>
      <c r="F130">
        <v>52.5</v>
      </c>
      <c r="G130" t="s">
        <v>133</v>
      </c>
      <c r="H130" t="s">
        <v>340</v>
      </c>
      <c r="I130" t="s">
        <v>469</v>
      </c>
      <c r="J130">
        <v>4.75</v>
      </c>
      <c r="K130" t="s">
        <v>135</v>
      </c>
    </row>
    <row r="131" spans="1:11" x14ac:dyDescent="0.35">
      <c r="A131" t="s">
        <v>97</v>
      </c>
      <c r="B131" t="s">
        <v>474</v>
      </c>
      <c r="C131" t="s">
        <v>477</v>
      </c>
      <c r="D131" t="s">
        <v>131</v>
      </c>
      <c r="E131" t="s">
        <v>132</v>
      </c>
      <c r="F131">
        <v>52.5</v>
      </c>
      <c r="G131" t="s">
        <v>133</v>
      </c>
      <c r="H131" t="s">
        <v>340</v>
      </c>
      <c r="I131" t="s">
        <v>469</v>
      </c>
      <c r="J131">
        <v>7.15</v>
      </c>
      <c r="K131" t="s">
        <v>135</v>
      </c>
    </row>
    <row r="132" spans="1:11" x14ac:dyDescent="0.35">
      <c r="A132" t="s">
        <v>97</v>
      </c>
      <c r="B132" t="s">
        <v>478</v>
      </c>
      <c r="C132" t="s">
        <v>479</v>
      </c>
      <c r="D132" t="s">
        <v>139</v>
      </c>
      <c r="E132" t="s">
        <v>132</v>
      </c>
      <c r="G132" t="s">
        <v>135</v>
      </c>
      <c r="H132" t="s">
        <v>135</v>
      </c>
      <c r="I132" t="s">
        <v>135</v>
      </c>
      <c r="K132" t="s">
        <v>135</v>
      </c>
    </row>
    <row r="133" spans="1:11" x14ac:dyDescent="0.35">
      <c r="A133" t="s">
        <v>97</v>
      </c>
      <c r="B133" t="s">
        <v>102</v>
      </c>
      <c r="C133" t="s">
        <v>480</v>
      </c>
      <c r="D133" t="s">
        <v>139</v>
      </c>
      <c r="E133" t="s">
        <v>159</v>
      </c>
      <c r="G133" t="s">
        <v>135</v>
      </c>
      <c r="H133" t="s">
        <v>135</v>
      </c>
      <c r="I133" t="s">
        <v>135</v>
      </c>
      <c r="K133" t="s">
        <v>135</v>
      </c>
    </row>
    <row r="134" spans="1:11" x14ac:dyDescent="0.35">
      <c r="A134" t="s">
        <v>97</v>
      </c>
      <c r="B134" t="s">
        <v>102</v>
      </c>
      <c r="C134" t="s">
        <v>481</v>
      </c>
      <c r="D134" t="s">
        <v>158</v>
      </c>
      <c r="E134" t="s">
        <v>447</v>
      </c>
      <c r="G134" t="s">
        <v>135</v>
      </c>
      <c r="H134" t="s">
        <v>135</v>
      </c>
      <c r="I134" t="s">
        <v>135</v>
      </c>
      <c r="K134" t="s">
        <v>135</v>
      </c>
    </row>
    <row r="135" spans="1:11" x14ac:dyDescent="0.35">
      <c r="A135" t="s">
        <v>97</v>
      </c>
      <c r="B135" t="s">
        <v>102</v>
      </c>
      <c r="C135" t="s">
        <v>482</v>
      </c>
      <c r="D135" t="s">
        <v>139</v>
      </c>
      <c r="E135" t="s">
        <v>159</v>
      </c>
      <c r="G135" t="s">
        <v>135</v>
      </c>
      <c r="H135" t="s">
        <v>135</v>
      </c>
      <c r="I135" t="s">
        <v>135</v>
      </c>
      <c r="K135" t="s">
        <v>135</v>
      </c>
    </row>
    <row r="136" spans="1:11" x14ac:dyDescent="0.35">
      <c r="A136" t="s">
        <v>97</v>
      </c>
      <c r="B136" t="s">
        <v>103</v>
      </c>
      <c r="C136" t="s">
        <v>347</v>
      </c>
      <c r="D136" t="s">
        <v>131</v>
      </c>
      <c r="E136" t="s">
        <v>156</v>
      </c>
      <c r="F136">
        <v>52.5</v>
      </c>
      <c r="G136" t="s">
        <v>133</v>
      </c>
      <c r="H136" t="s">
        <v>173</v>
      </c>
      <c r="I136" t="s">
        <v>182</v>
      </c>
      <c r="J136">
        <v>7.15</v>
      </c>
      <c r="K136" t="s">
        <v>135</v>
      </c>
    </row>
    <row r="137" spans="1:11" x14ac:dyDescent="0.35">
      <c r="A137" t="s">
        <v>97</v>
      </c>
      <c r="B137" t="s">
        <v>103</v>
      </c>
      <c r="C137" t="s">
        <v>188</v>
      </c>
      <c r="D137" t="s">
        <v>131</v>
      </c>
      <c r="E137" t="s">
        <v>156</v>
      </c>
      <c r="F137">
        <v>52.5</v>
      </c>
      <c r="G137" t="s">
        <v>133</v>
      </c>
      <c r="H137" t="s">
        <v>173</v>
      </c>
      <c r="I137" t="s">
        <v>182</v>
      </c>
      <c r="J137">
        <v>7.15</v>
      </c>
      <c r="K137" t="s">
        <v>135</v>
      </c>
    </row>
    <row r="138" spans="1:11" x14ac:dyDescent="0.35">
      <c r="A138" t="s">
        <v>97</v>
      </c>
      <c r="B138" t="s">
        <v>103</v>
      </c>
      <c r="C138" t="s">
        <v>483</v>
      </c>
      <c r="D138" t="s">
        <v>139</v>
      </c>
      <c r="E138" t="s">
        <v>159</v>
      </c>
      <c r="G138" t="s">
        <v>135</v>
      </c>
      <c r="H138" t="s">
        <v>135</v>
      </c>
      <c r="I138" t="s">
        <v>135</v>
      </c>
      <c r="K138" t="s">
        <v>135</v>
      </c>
    </row>
    <row r="139" spans="1:11" x14ac:dyDescent="0.35">
      <c r="A139" t="s">
        <v>97</v>
      </c>
      <c r="B139" t="s">
        <v>103</v>
      </c>
      <c r="C139" t="s">
        <v>348</v>
      </c>
      <c r="D139" t="s">
        <v>131</v>
      </c>
      <c r="E139" t="s">
        <v>156</v>
      </c>
      <c r="F139">
        <v>52.5</v>
      </c>
      <c r="G139" t="s">
        <v>133</v>
      </c>
      <c r="H139" t="s">
        <v>173</v>
      </c>
      <c r="I139" t="s">
        <v>182</v>
      </c>
      <c r="J139">
        <v>7.15</v>
      </c>
      <c r="K139" t="s">
        <v>135</v>
      </c>
    </row>
    <row r="140" spans="1:11" x14ac:dyDescent="0.35">
      <c r="A140" t="s">
        <v>97</v>
      </c>
      <c r="B140" t="s">
        <v>104</v>
      </c>
      <c r="C140" t="s">
        <v>189</v>
      </c>
      <c r="D140" t="s">
        <v>158</v>
      </c>
      <c r="E140" t="s">
        <v>269</v>
      </c>
      <c r="G140" t="s">
        <v>135</v>
      </c>
      <c r="H140" t="s">
        <v>135</v>
      </c>
      <c r="I140" t="s">
        <v>135</v>
      </c>
      <c r="K140" t="s">
        <v>135</v>
      </c>
    </row>
    <row r="141" spans="1:11" x14ac:dyDescent="0.35">
      <c r="A141" t="s">
        <v>97</v>
      </c>
      <c r="B141" t="s">
        <v>104</v>
      </c>
      <c r="C141" t="s">
        <v>484</v>
      </c>
      <c r="D141" t="s">
        <v>139</v>
      </c>
      <c r="E141" t="s">
        <v>140</v>
      </c>
      <c r="G141" t="s">
        <v>135</v>
      </c>
      <c r="H141" t="s">
        <v>135</v>
      </c>
      <c r="I141" t="s">
        <v>135</v>
      </c>
      <c r="K141" t="s">
        <v>135</v>
      </c>
    </row>
    <row r="142" spans="1:11" x14ac:dyDescent="0.35">
      <c r="A142" t="s">
        <v>97</v>
      </c>
      <c r="B142" t="s">
        <v>121</v>
      </c>
      <c r="C142" t="s">
        <v>485</v>
      </c>
      <c r="D142" t="s">
        <v>131</v>
      </c>
      <c r="E142" t="s">
        <v>145</v>
      </c>
      <c r="F142">
        <v>52.5</v>
      </c>
      <c r="G142" t="s">
        <v>133</v>
      </c>
      <c r="H142" t="s">
        <v>151</v>
      </c>
      <c r="I142" t="s">
        <v>457</v>
      </c>
      <c r="J142">
        <v>4.75</v>
      </c>
      <c r="K142" t="s">
        <v>135</v>
      </c>
    </row>
    <row r="143" spans="1:11" x14ac:dyDescent="0.35">
      <c r="A143" t="s">
        <v>97</v>
      </c>
      <c r="B143" t="s">
        <v>121</v>
      </c>
      <c r="C143" t="s">
        <v>486</v>
      </c>
      <c r="D143" t="s">
        <v>131</v>
      </c>
      <c r="E143" t="s">
        <v>132</v>
      </c>
      <c r="F143">
        <v>52.5</v>
      </c>
      <c r="G143" t="s">
        <v>133</v>
      </c>
      <c r="H143" t="s">
        <v>151</v>
      </c>
      <c r="I143" t="s">
        <v>457</v>
      </c>
      <c r="J143">
        <v>7.15</v>
      </c>
      <c r="K143" t="s">
        <v>135</v>
      </c>
    </row>
    <row r="144" spans="1:11" x14ac:dyDescent="0.35">
      <c r="A144" t="s">
        <v>97</v>
      </c>
      <c r="B144" t="s">
        <v>121</v>
      </c>
      <c r="C144" t="s">
        <v>487</v>
      </c>
      <c r="D144" t="s">
        <v>131</v>
      </c>
      <c r="E144" t="s">
        <v>132</v>
      </c>
      <c r="F144">
        <v>52.5</v>
      </c>
      <c r="G144" t="s">
        <v>133</v>
      </c>
      <c r="H144" t="s">
        <v>151</v>
      </c>
      <c r="I144" t="s">
        <v>457</v>
      </c>
      <c r="J144">
        <v>7.15</v>
      </c>
      <c r="K144" t="s">
        <v>135</v>
      </c>
    </row>
    <row r="145" spans="1:11" x14ac:dyDescent="0.35">
      <c r="A145" t="s">
        <v>97</v>
      </c>
      <c r="B145" t="s">
        <v>121</v>
      </c>
      <c r="C145" t="s">
        <v>488</v>
      </c>
      <c r="D145" t="s">
        <v>131</v>
      </c>
      <c r="E145" t="s">
        <v>132</v>
      </c>
      <c r="F145">
        <v>52.5</v>
      </c>
      <c r="G145" t="s">
        <v>133</v>
      </c>
      <c r="H145" t="s">
        <v>151</v>
      </c>
      <c r="I145" t="s">
        <v>457</v>
      </c>
      <c r="J145">
        <v>7.15</v>
      </c>
      <c r="K145" t="s">
        <v>135</v>
      </c>
    </row>
    <row r="146" spans="1:11" x14ac:dyDescent="0.35">
      <c r="A146" t="s">
        <v>97</v>
      </c>
      <c r="B146" t="s">
        <v>122</v>
      </c>
      <c r="C146" t="s">
        <v>489</v>
      </c>
      <c r="D146" t="s">
        <v>139</v>
      </c>
      <c r="E146" t="s">
        <v>159</v>
      </c>
      <c r="G146" t="s">
        <v>135</v>
      </c>
      <c r="H146" t="s">
        <v>135</v>
      </c>
      <c r="I146" t="s">
        <v>135</v>
      </c>
      <c r="K146" t="s">
        <v>135</v>
      </c>
    </row>
    <row r="147" spans="1:11" x14ac:dyDescent="0.35">
      <c r="A147" t="s">
        <v>97</v>
      </c>
      <c r="B147" t="s">
        <v>122</v>
      </c>
      <c r="C147" t="s">
        <v>490</v>
      </c>
      <c r="D147" t="s">
        <v>131</v>
      </c>
      <c r="E147" t="s">
        <v>132</v>
      </c>
      <c r="F147">
        <v>52.5</v>
      </c>
      <c r="G147" t="s">
        <v>133</v>
      </c>
      <c r="H147" t="s">
        <v>150</v>
      </c>
      <c r="I147" t="s">
        <v>457</v>
      </c>
      <c r="J147">
        <v>4.75</v>
      </c>
      <c r="K147" t="s">
        <v>135</v>
      </c>
    </row>
    <row r="148" spans="1:11" x14ac:dyDescent="0.35">
      <c r="A148" t="s">
        <v>97</v>
      </c>
      <c r="B148" t="s">
        <v>122</v>
      </c>
      <c r="C148" t="s">
        <v>491</v>
      </c>
      <c r="D148" t="s">
        <v>131</v>
      </c>
      <c r="E148" t="s">
        <v>132</v>
      </c>
      <c r="F148">
        <v>52.5</v>
      </c>
      <c r="G148" t="s">
        <v>133</v>
      </c>
      <c r="H148" t="s">
        <v>150</v>
      </c>
      <c r="I148" t="s">
        <v>457</v>
      </c>
      <c r="J148">
        <v>4.75</v>
      </c>
      <c r="K148" t="s">
        <v>135</v>
      </c>
    </row>
    <row r="149" spans="1:11" x14ac:dyDescent="0.35">
      <c r="A149" t="s">
        <v>97</v>
      </c>
      <c r="B149" t="s">
        <v>122</v>
      </c>
      <c r="C149" t="s">
        <v>492</v>
      </c>
      <c r="D149" t="s">
        <v>139</v>
      </c>
      <c r="E149" t="s">
        <v>369</v>
      </c>
      <c r="G149" t="s">
        <v>135</v>
      </c>
      <c r="H149" t="s">
        <v>135</v>
      </c>
      <c r="I149" t="s">
        <v>135</v>
      </c>
      <c r="K149" t="s">
        <v>135</v>
      </c>
    </row>
    <row r="150" spans="1:11" x14ac:dyDescent="0.35">
      <c r="A150" t="s">
        <v>97</v>
      </c>
      <c r="B150" t="s">
        <v>122</v>
      </c>
      <c r="C150" t="s">
        <v>493</v>
      </c>
      <c r="D150" t="s">
        <v>139</v>
      </c>
      <c r="E150" t="s">
        <v>172</v>
      </c>
      <c r="G150" t="s">
        <v>135</v>
      </c>
      <c r="H150" t="s">
        <v>135</v>
      </c>
      <c r="I150" t="s">
        <v>135</v>
      </c>
      <c r="K150" t="s">
        <v>135</v>
      </c>
    </row>
    <row r="151" spans="1:11" x14ac:dyDescent="0.35">
      <c r="A151" t="s">
        <v>105</v>
      </c>
      <c r="B151" t="s">
        <v>106</v>
      </c>
      <c r="C151" t="s">
        <v>494</v>
      </c>
      <c r="D151" t="s">
        <v>139</v>
      </c>
      <c r="E151" t="s">
        <v>145</v>
      </c>
      <c r="G151" t="s">
        <v>135</v>
      </c>
      <c r="H151" t="s">
        <v>135</v>
      </c>
      <c r="I151" t="s">
        <v>135</v>
      </c>
      <c r="K151" t="s">
        <v>135</v>
      </c>
    </row>
    <row r="152" spans="1:11" x14ac:dyDescent="0.35">
      <c r="A152" t="s">
        <v>105</v>
      </c>
      <c r="B152" t="s">
        <v>106</v>
      </c>
      <c r="C152" t="s">
        <v>495</v>
      </c>
      <c r="D152" t="s">
        <v>131</v>
      </c>
      <c r="E152" t="s">
        <v>145</v>
      </c>
      <c r="F152">
        <v>70</v>
      </c>
      <c r="G152" t="s">
        <v>133</v>
      </c>
      <c r="H152" t="s">
        <v>151</v>
      </c>
      <c r="I152" t="s">
        <v>135</v>
      </c>
      <c r="J152">
        <v>5.2</v>
      </c>
      <c r="K152" t="s">
        <v>135</v>
      </c>
    </row>
    <row r="153" spans="1:11" x14ac:dyDescent="0.35">
      <c r="A153" t="s">
        <v>105</v>
      </c>
      <c r="B153" t="s">
        <v>106</v>
      </c>
      <c r="C153" t="s">
        <v>496</v>
      </c>
      <c r="D153" t="s">
        <v>131</v>
      </c>
      <c r="E153" t="s">
        <v>145</v>
      </c>
      <c r="F153">
        <v>70</v>
      </c>
      <c r="G153" t="s">
        <v>133</v>
      </c>
      <c r="H153" t="s">
        <v>150</v>
      </c>
      <c r="I153" t="s">
        <v>135</v>
      </c>
      <c r="J153">
        <v>5.5</v>
      </c>
      <c r="K153" t="s">
        <v>135</v>
      </c>
    </row>
    <row r="154" spans="1:11" x14ac:dyDescent="0.35">
      <c r="A154" t="s">
        <v>105</v>
      </c>
      <c r="B154" t="s">
        <v>106</v>
      </c>
      <c r="C154" t="s">
        <v>497</v>
      </c>
      <c r="D154" t="s">
        <v>131</v>
      </c>
      <c r="E154" t="s">
        <v>132</v>
      </c>
      <c r="F154">
        <v>70</v>
      </c>
      <c r="G154" t="s">
        <v>136</v>
      </c>
      <c r="H154" t="s">
        <v>167</v>
      </c>
      <c r="I154" t="s">
        <v>135</v>
      </c>
      <c r="J154">
        <v>6.8</v>
      </c>
      <c r="K154" t="s">
        <v>135</v>
      </c>
    </row>
    <row r="155" spans="1:11" x14ac:dyDescent="0.35">
      <c r="A155" t="s">
        <v>105</v>
      </c>
      <c r="B155" t="s">
        <v>107</v>
      </c>
      <c r="C155" t="s">
        <v>498</v>
      </c>
      <c r="D155" t="s">
        <v>131</v>
      </c>
      <c r="E155" t="s">
        <v>137</v>
      </c>
      <c r="F155">
        <v>70</v>
      </c>
      <c r="G155" t="s">
        <v>136</v>
      </c>
      <c r="H155" t="s">
        <v>167</v>
      </c>
      <c r="I155" t="s">
        <v>135</v>
      </c>
      <c r="J155">
        <v>4</v>
      </c>
      <c r="K155" t="s">
        <v>135</v>
      </c>
    </row>
    <row r="156" spans="1:11" x14ac:dyDescent="0.35">
      <c r="A156" t="s">
        <v>105</v>
      </c>
      <c r="B156" t="s">
        <v>107</v>
      </c>
      <c r="C156" t="s">
        <v>190</v>
      </c>
      <c r="D156" t="s">
        <v>158</v>
      </c>
      <c r="E156" t="s">
        <v>268</v>
      </c>
      <c r="G156" t="s">
        <v>135</v>
      </c>
      <c r="H156" t="s">
        <v>135</v>
      </c>
      <c r="I156" t="s">
        <v>135</v>
      </c>
      <c r="K156" t="s">
        <v>135</v>
      </c>
    </row>
    <row r="157" spans="1:11" x14ac:dyDescent="0.35">
      <c r="A157" t="s">
        <v>105</v>
      </c>
      <c r="B157" t="s">
        <v>107</v>
      </c>
      <c r="C157" t="s">
        <v>191</v>
      </c>
      <c r="D157" t="s">
        <v>158</v>
      </c>
      <c r="E157" t="s">
        <v>268</v>
      </c>
      <c r="G157" t="s">
        <v>135</v>
      </c>
      <c r="H157" t="s">
        <v>135</v>
      </c>
      <c r="I157" t="s">
        <v>135</v>
      </c>
      <c r="K157" t="s">
        <v>135</v>
      </c>
    </row>
    <row r="158" spans="1:11" x14ac:dyDescent="0.35">
      <c r="A158" t="s">
        <v>105</v>
      </c>
      <c r="B158" t="s">
        <v>107</v>
      </c>
      <c r="C158" t="s">
        <v>499</v>
      </c>
      <c r="D158" t="s">
        <v>139</v>
      </c>
      <c r="E158" t="s">
        <v>140</v>
      </c>
      <c r="G158" t="s">
        <v>135</v>
      </c>
      <c r="H158" t="s">
        <v>135</v>
      </c>
      <c r="I158" t="s">
        <v>135</v>
      </c>
      <c r="K158" t="s">
        <v>135</v>
      </c>
    </row>
    <row r="159" spans="1:11" x14ac:dyDescent="0.35">
      <c r="A159" t="s">
        <v>105</v>
      </c>
      <c r="B159" t="s">
        <v>107</v>
      </c>
      <c r="C159" t="s">
        <v>500</v>
      </c>
      <c r="D159" t="s">
        <v>131</v>
      </c>
      <c r="E159" t="s">
        <v>132</v>
      </c>
      <c r="F159">
        <v>70</v>
      </c>
      <c r="G159" t="s">
        <v>136</v>
      </c>
      <c r="H159" t="s">
        <v>167</v>
      </c>
      <c r="I159" t="s">
        <v>135</v>
      </c>
      <c r="J159">
        <v>6.8</v>
      </c>
      <c r="K159" t="s">
        <v>135</v>
      </c>
    </row>
    <row r="160" spans="1:11" x14ac:dyDescent="0.35">
      <c r="A160" t="s">
        <v>105</v>
      </c>
      <c r="B160" t="s">
        <v>107</v>
      </c>
      <c r="C160" t="s">
        <v>501</v>
      </c>
      <c r="D160" t="s">
        <v>131</v>
      </c>
      <c r="E160" t="s">
        <v>132</v>
      </c>
      <c r="F160">
        <v>70</v>
      </c>
      <c r="G160" t="s">
        <v>136</v>
      </c>
      <c r="H160" t="s">
        <v>167</v>
      </c>
      <c r="I160" t="s">
        <v>135</v>
      </c>
      <c r="J160">
        <v>5.5</v>
      </c>
      <c r="K160" t="s">
        <v>135</v>
      </c>
    </row>
    <row r="161" spans="1:11" x14ac:dyDescent="0.35">
      <c r="A161" t="s">
        <v>105</v>
      </c>
      <c r="B161" t="s">
        <v>107</v>
      </c>
      <c r="C161" t="s">
        <v>502</v>
      </c>
      <c r="D161" t="s">
        <v>139</v>
      </c>
      <c r="E161" t="s">
        <v>132</v>
      </c>
      <c r="G161" t="s">
        <v>135</v>
      </c>
      <c r="H161" t="s">
        <v>135</v>
      </c>
      <c r="I161" t="s">
        <v>135</v>
      </c>
      <c r="K161" t="s">
        <v>135</v>
      </c>
    </row>
    <row r="162" spans="1:11" x14ac:dyDescent="0.35">
      <c r="A162" t="s">
        <v>105</v>
      </c>
      <c r="B162" t="s">
        <v>107</v>
      </c>
      <c r="C162" t="s">
        <v>503</v>
      </c>
      <c r="D162" t="s">
        <v>139</v>
      </c>
      <c r="E162" t="s">
        <v>140</v>
      </c>
      <c r="G162" t="s">
        <v>135</v>
      </c>
      <c r="H162" t="s">
        <v>135</v>
      </c>
      <c r="I162" t="s">
        <v>135</v>
      </c>
      <c r="K162" t="s">
        <v>135</v>
      </c>
    </row>
    <row r="163" spans="1:11" x14ac:dyDescent="0.35">
      <c r="A163" t="s">
        <v>105</v>
      </c>
      <c r="B163" t="s">
        <v>107</v>
      </c>
      <c r="C163" t="s">
        <v>192</v>
      </c>
      <c r="D163" t="s">
        <v>158</v>
      </c>
      <c r="E163" t="s">
        <v>268</v>
      </c>
      <c r="G163" t="s">
        <v>135</v>
      </c>
      <c r="H163" t="s">
        <v>135</v>
      </c>
      <c r="I163" t="s">
        <v>135</v>
      </c>
      <c r="K163" t="s">
        <v>135</v>
      </c>
    </row>
    <row r="164" spans="1:11" x14ac:dyDescent="0.35">
      <c r="A164" t="s">
        <v>108</v>
      </c>
      <c r="B164" t="s">
        <v>109</v>
      </c>
      <c r="C164" t="s">
        <v>504</v>
      </c>
      <c r="D164" t="s">
        <v>131</v>
      </c>
      <c r="E164" t="s">
        <v>132</v>
      </c>
      <c r="F164">
        <v>52.5</v>
      </c>
      <c r="G164" t="s">
        <v>146</v>
      </c>
      <c r="H164" t="s">
        <v>147</v>
      </c>
      <c r="I164" t="s">
        <v>134</v>
      </c>
      <c r="J164">
        <v>4.5</v>
      </c>
      <c r="K164" t="s">
        <v>135</v>
      </c>
    </row>
    <row r="165" spans="1:11" x14ac:dyDescent="0.35">
      <c r="A165" t="s">
        <v>108</v>
      </c>
      <c r="B165" t="s">
        <v>109</v>
      </c>
      <c r="C165" t="s">
        <v>505</v>
      </c>
      <c r="D165" t="s">
        <v>139</v>
      </c>
      <c r="E165" t="s">
        <v>145</v>
      </c>
      <c r="F165">
        <v>52.5</v>
      </c>
      <c r="G165" t="s">
        <v>133</v>
      </c>
      <c r="H165" t="s">
        <v>150</v>
      </c>
      <c r="I165" t="s">
        <v>134</v>
      </c>
      <c r="J165">
        <v>4.5</v>
      </c>
      <c r="K165" t="s">
        <v>135</v>
      </c>
    </row>
    <row r="166" spans="1:11" x14ac:dyDescent="0.35">
      <c r="A166" t="s">
        <v>108</v>
      </c>
      <c r="B166" t="s">
        <v>109</v>
      </c>
      <c r="C166" t="s">
        <v>349</v>
      </c>
      <c r="D166" t="s">
        <v>131</v>
      </c>
      <c r="E166" t="s">
        <v>137</v>
      </c>
      <c r="F166">
        <v>52.5</v>
      </c>
      <c r="G166" t="s">
        <v>146</v>
      </c>
      <c r="H166" t="s">
        <v>147</v>
      </c>
      <c r="I166" t="s">
        <v>134</v>
      </c>
      <c r="J166">
        <v>4</v>
      </c>
      <c r="K166" t="s">
        <v>135</v>
      </c>
    </row>
    <row r="167" spans="1:11" x14ac:dyDescent="0.35">
      <c r="A167" t="s">
        <v>108</v>
      </c>
      <c r="B167" t="s">
        <v>109</v>
      </c>
      <c r="C167" t="s">
        <v>506</v>
      </c>
      <c r="D167" t="s">
        <v>131</v>
      </c>
      <c r="E167" t="s">
        <v>137</v>
      </c>
      <c r="F167">
        <v>52.5</v>
      </c>
      <c r="G167" t="s">
        <v>146</v>
      </c>
      <c r="H167" t="s">
        <v>147</v>
      </c>
      <c r="I167" t="s">
        <v>134</v>
      </c>
      <c r="J167">
        <v>6.5</v>
      </c>
      <c r="K167" t="s">
        <v>135</v>
      </c>
    </row>
    <row r="168" spans="1:11" x14ac:dyDescent="0.35">
      <c r="A168" t="s">
        <v>108</v>
      </c>
      <c r="B168" t="s">
        <v>109</v>
      </c>
      <c r="C168" t="s">
        <v>507</v>
      </c>
      <c r="D168" t="s">
        <v>158</v>
      </c>
      <c r="E168" t="s">
        <v>278</v>
      </c>
      <c r="F168">
        <v>52.5</v>
      </c>
      <c r="G168" t="s">
        <v>146</v>
      </c>
      <c r="H168" t="s">
        <v>350</v>
      </c>
      <c r="I168" t="s">
        <v>134</v>
      </c>
      <c r="J168">
        <v>4.5</v>
      </c>
      <c r="K168" t="s">
        <v>135</v>
      </c>
    </row>
    <row r="169" spans="1:11" x14ac:dyDescent="0.35">
      <c r="A169" t="s">
        <v>108</v>
      </c>
      <c r="B169" t="s">
        <v>110</v>
      </c>
      <c r="C169" t="s">
        <v>508</v>
      </c>
      <c r="D169" t="s">
        <v>139</v>
      </c>
      <c r="E169" t="s">
        <v>159</v>
      </c>
      <c r="F169">
        <v>52.5</v>
      </c>
      <c r="G169" t="s">
        <v>154</v>
      </c>
      <c r="H169" t="s">
        <v>155</v>
      </c>
      <c r="I169" t="s">
        <v>134</v>
      </c>
      <c r="J169">
        <v>6.5</v>
      </c>
      <c r="K169" t="s">
        <v>135</v>
      </c>
    </row>
    <row r="170" spans="1:11" x14ac:dyDescent="0.35">
      <c r="A170" t="s">
        <v>108</v>
      </c>
      <c r="B170" t="s">
        <v>110</v>
      </c>
      <c r="C170" t="s">
        <v>509</v>
      </c>
      <c r="D170" t="s">
        <v>139</v>
      </c>
      <c r="E170" t="s">
        <v>159</v>
      </c>
      <c r="F170">
        <v>52.5</v>
      </c>
      <c r="G170" t="s">
        <v>154</v>
      </c>
      <c r="H170" t="s">
        <v>155</v>
      </c>
      <c r="I170" t="s">
        <v>134</v>
      </c>
      <c r="J170">
        <v>6</v>
      </c>
      <c r="K170" t="s">
        <v>135</v>
      </c>
    </row>
    <row r="171" spans="1:11" x14ac:dyDescent="0.35">
      <c r="A171" t="s">
        <v>108</v>
      </c>
      <c r="B171" t="s">
        <v>110</v>
      </c>
      <c r="C171" t="s">
        <v>510</v>
      </c>
      <c r="D171" t="s">
        <v>131</v>
      </c>
      <c r="E171" t="s">
        <v>140</v>
      </c>
      <c r="F171">
        <v>52.5</v>
      </c>
      <c r="G171" t="s">
        <v>154</v>
      </c>
      <c r="H171" t="s">
        <v>155</v>
      </c>
      <c r="I171" t="s">
        <v>134</v>
      </c>
      <c r="J171">
        <v>5.8</v>
      </c>
      <c r="K171" t="s">
        <v>135</v>
      </c>
    </row>
    <row r="172" spans="1:11" x14ac:dyDescent="0.35">
      <c r="A172" t="s">
        <v>108</v>
      </c>
      <c r="B172" t="s">
        <v>110</v>
      </c>
      <c r="C172" t="s">
        <v>123</v>
      </c>
      <c r="D172" t="s">
        <v>131</v>
      </c>
      <c r="E172" t="s">
        <v>159</v>
      </c>
      <c r="F172">
        <v>52.5</v>
      </c>
      <c r="G172" t="s">
        <v>154</v>
      </c>
      <c r="H172" t="s">
        <v>155</v>
      </c>
      <c r="I172" t="s">
        <v>134</v>
      </c>
      <c r="J172">
        <v>4</v>
      </c>
      <c r="K172" t="s">
        <v>135</v>
      </c>
    </row>
    <row r="173" spans="1:11" x14ac:dyDescent="0.35">
      <c r="A173" t="s">
        <v>108</v>
      </c>
      <c r="B173" t="s">
        <v>110</v>
      </c>
      <c r="C173" t="s">
        <v>511</v>
      </c>
      <c r="D173" t="s">
        <v>139</v>
      </c>
      <c r="E173" t="s">
        <v>159</v>
      </c>
      <c r="F173">
        <v>52.5</v>
      </c>
      <c r="G173" t="s">
        <v>154</v>
      </c>
      <c r="H173" t="s">
        <v>155</v>
      </c>
      <c r="I173" t="s">
        <v>134</v>
      </c>
      <c r="J173">
        <v>4</v>
      </c>
      <c r="K173" t="s">
        <v>135</v>
      </c>
    </row>
    <row r="174" spans="1:11" x14ac:dyDescent="0.35">
      <c r="A174" t="s">
        <v>108</v>
      </c>
      <c r="B174" t="s">
        <v>110</v>
      </c>
      <c r="C174" t="s">
        <v>193</v>
      </c>
      <c r="D174" t="s">
        <v>131</v>
      </c>
      <c r="E174" t="s">
        <v>159</v>
      </c>
      <c r="F174">
        <v>52.5</v>
      </c>
      <c r="G174" t="s">
        <v>154</v>
      </c>
      <c r="H174" t="s">
        <v>446</v>
      </c>
      <c r="I174" t="s">
        <v>134</v>
      </c>
      <c r="J174">
        <v>4</v>
      </c>
      <c r="K174" t="s">
        <v>135</v>
      </c>
    </row>
    <row r="175" spans="1:11" x14ac:dyDescent="0.35">
      <c r="A175" t="s">
        <v>108</v>
      </c>
      <c r="B175" t="s">
        <v>110</v>
      </c>
      <c r="C175" t="s">
        <v>512</v>
      </c>
      <c r="D175" t="s">
        <v>131</v>
      </c>
      <c r="E175" t="s">
        <v>159</v>
      </c>
      <c r="F175">
        <v>52.5</v>
      </c>
      <c r="G175" t="s">
        <v>154</v>
      </c>
      <c r="H175" t="s">
        <v>155</v>
      </c>
      <c r="I175" t="s">
        <v>134</v>
      </c>
      <c r="J175">
        <v>6.5</v>
      </c>
      <c r="K175" t="s">
        <v>135</v>
      </c>
    </row>
    <row r="176" spans="1:11" x14ac:dyDescent="0.35">
      <c r="A176" t="s">
        <v>108</v>
      </c>
      <c r="B176" t="s">
        <v>110</v>
      </c>
      <c r="C176" t="s">
        <v>194</v>
      </c>
      <c r="D176" t="s">
        <v>131</v>
      </c>
      <c r="E176" t="s">
        <v>159</v>
      </c>
      <c r="F176">
        <v>52.5</v>
      </c>
      <c r="G176" t="s">
        <v>154</v>
      </c>
      <c r="H176" t="s">
        <v>155</v>
      </c>
      <c r="I176" t="s">
        <v>134</v>
      </c>
      <c r="J176">
        <v>6.5</v>
      </c>
      <c r="K176" t="s">
        <v>135</v>
      </c>
    </row>
    <row r="177" spans="1:11" x14ac:dyDescent="0.35">
      <c r="A177" t="s">
        <v>108</v>
      </c>
      <c r="B177" t="s">
        <v>110</v>
      </c>
      <c r="C177" t="s">
        <v>195</v>
      </c>
      <c r="D177" t="s">
        <v>139</v>
      </c>
      <c r="E177" t="s">
        <v>159</v>
      </c>
      <c r="F177">
        <v>52.5</v>
      </c>
      <c r="G177" t="s">
        <v>154</v>
      </c>
      <c r="H177" t="s">
        <v>155</v>
      </c>
      <c r="I177" t="s">
        <v>134</v>
      </c>
      <c r="J177">
        <v>4.5</v>
      </c>
      <c r="K177" t="s">
        <v>135</v>
      </c>
    </row>
    <row r="178" spans="1:11" x14ac:dyDescent="0.35">
      <c r="A178" t="s">
        <v>108</v>
      </c>
      <c r="B178" t="s">
        <v>111</v>
      </c>
      <c r="C178" t="s">
        <v>196</v>
      </c>
      <c r="D178" t="s">
        <v>158</v>
      </c>
      <c r="E178" t="s">
        <v>268</v>
      </c>
      <c r="F178">
        <v>52.5</v>
      </c>
      <c r="G178" t="s">
        <v>146</v>
      </c>
      <c r="H178" t="s">
        <v>350</v>
      </c>
      <c r="I178" t="s">
        <v>134</v>
      </c>
      <c r="J178">
        <v>4.5</v>
      </c>
      <c r="K178" t="s">
        <v>135</v>
      </c>
    </row>
    <row r="179" spans="1:11" x14ac:dyDescent="0.35">
      <c r="A179" t="s">
        <v>108</v>
      </c>
      <c r="B179" t="s">
        <v>111</v>
      </c>
      <c r="C179" t="s">
        <v>197</v>
      </c>
      <c r="D179" t="s">
        <v>131</v>
      </c>
      <c r="E179" t="s">
        <v>156</v>
      </c>
      <c r="F179">
        <v>52.5</v>
      </c>
      <c r="G179" t="s">
        <v>513</v>
      </c>
      <c r="H179" t="s">
        <v>514</v>
      </c>
      <c r="I179" t="s">
        <v>134</v>
      </c>
      <c r="J179">
        <v>6</v>
      </c>
      <c r="K179" t="s">
        <v>135</v>
      </c>
    </row>
    <row r="180" spans="1:11" x14ac:dyDescent="0.35">
      <c r="A180" t="s">
        <v>108</v>
      </c>
      <c r="B180" t="s">
        <v>111</v>
      </c>
      <c r="C180" t="s">
        <v>351</v>
      </c>
      <c r="D180" t="s">
        <v>131</v>
      </c>
      <c r="E180" t="s">
        <v>137</v>
      </c>
      <c r="F180">
        <v>52.5</v>
      </c>
      <c r="G180" t="s">
        <v>146</v>
      </c>
      <c r="H180" t="s">
        <v>350</v>
      </c>
      <c r="I180" t="s">
        <v>134</v>
      </c>
      <c r="J180">
        <v>4.5</v>
      </c>
      <c r="K180" t="s">
        <v>135</v>
      </c>
    </row>
    <row r="181" spans="1:11" x14ac:dyDescent="0.35">
      <c r="A181" t="s">
        <v>108</v>
      </c>
      <c r="B181" t="s">
        <v>111</v>
      </c>
      <c r="C181" t="s">
        <v>352</v>
      </c>
      <c r="D181" t="s">
        <v>131</v>
      </c>
      <c r="E181" t="s">
        <v>137</v>
      </c>
      <c r="F181">
        <v>52.5</v>
      </c>
      <c r="G181" t="s">
        <v>513</v>
      </c>
      <c r="H181" t="s">
        <v>514</v>
      </c>
      <c r="I181" t="s">
        <v>134</v>
      </c>
      <c r="J181">
        <v>6.5</v>
      </c>
      <c r="K181" t="s">
        <v>135</v>
      </c>
    </row>
    <row r="182" spans="1:11" x14ac:dyDescent="0.35">
      <c r="A182" t="s">
        <v>108</v>
      </c>
      <c r="B182" t="s">
        <v>198</v>
      </c>
      <c r="C182" t="s">
        <v>199</v>
      </c>
      <c r="D182" t="s">
        <v>131</v>
      </c>
      <c r="E182" t="s">
        <v>159</v>
      </c>
      <c r="F182">
        <v>52.5</v>
      </c>
      <c r="G182" t="s">
        <v>154</v>
      </c>
      <c r="H182" t="s">
        <v>155</v>
      </c>
      <c r="I182" t="s">
        <v>134</v>
      </c>
      <c r="J182">
        <v>4</v>
      </c>
      <c r="K182" t="s">
        <v>135</v>
      </c>
    </row>
    <row r="183" spans="1:11" x14ac:dyDescent="0.35">
      <c r="A183" t="s">
        <v>108</v>
      </c>
      <c r="B183" t="s">
        <v>198</v>
      </c>
      <c r="C183" t="s">
        <v>515</v>
      </c>
      <c r="D183" t="s">
        <v>131</v>
      </c>
      <c r="E183" t="s">
        <v>132</v>
      </c>
      <c r="F183">
        <v>52.5</v>
      </c>
      <c r="G183" t="s">
        <v>154</v>
      </c>
      <c r="H183" t="s">
        <v>155</v>
      </c>
      <c r="I183" t="s">
        <v>134</v>
      </c>
      <c r="J183">
        <v>6.5</v>
      </c>
      <c r="K183" t="s">
        <v>135</v>
      </c>
    </row>
  </sheetData>
  <sheetProtection autoFilter="0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showGridLines="0" workbookViewId="0"/>
  </sheetViews>
  <sheetFormatPr baseColWidth="10" defaultRowHeight="12.75" x14ac:dyDescent="0.35"/>
  <cols>
    <col min="1" max="1" width="20.86328125" bestFit="1" customWidth="1"/>
    <col min="2" max="2" width="21.1328125" customWidth="1"/>
    <col min="5" max="5" width="17.59765625" bestFit="1" customWidth="1"/>
  </cols>
  <sheetData>
    <row r="1" spans="1:6" ht="13.15" x14ac:dyDescent="0.4">
      <c r="A1" s="108" t="s">
        <v>207</v>
      </c>
      <c r="B1" s="108" t="s">
        <v>208</v>
      </c>
      <c r="C1" s="109" t="s">
        <v>284</v>
      </c>
      <c r="E1" s="109" t="s">
        <v>21</v>
      </c>
      <c r="F1" s="109" t="s">
        <v>285</v>
      </c>
    </row>
    <row r="2" spans="1:6" ht="14.25" x14ac:dyDescent="0.45">
      <c r="A2" s="106" t="s">
        <v>209</v>
      </c>
      <c r="B2" s="106" t="s">
        <v>210</v>
      </c>
      <c r="C2" s="105" t="s">
        <v>247</v>
      </c>
      <c r="E2" s="107" t="s">
        <v>265</v>
      </c>
      <c r="F2" s="107" t="s">
        <v>286</v>
      </c>
    </row>
    <row r="3" spans="1:6" ht="14.25" x14ac:dyDescent="0.45">
      <c r="A3" s="106" t="s">
        <v>211</v>
      </c>
      <c r="B3" s="106" t="s">
        <v>212</v>
      </c>
      <c r="C3" s="105" t="s">
        <v>248</v>
      </c>
      <c r="E3" s="107" t="s">
        <v>266</v>
      </c>
      <c r="F3" s="105" t="s">
        <v>289</v>
      </c>
    </row>
    <row r="4" spans="1:6" ht="14.25" x14ac:dyDescent="0.45">
      <c r="A4" s="106" t="s">
        <v>213</v>
      </c>
      <c r="B4" s="106" t="s">
        <v>214</v>
      </c>
      <c r="C4" s="105" t="s">
        <v>249</v>
      </c>
      <c r="E4" s="107" t="s">
        <v>267</v>
      </c>
      <c r="F4" s="105" t="s">
        <v>287</v>
      </c>
    </row>
    <row r="5" spans="1:6" ht="14.25" x14ac:dyDescent="0.45">
      <c r="A5" s="106" t="s">
        <v>215</v>
      </c>
      <c r="B5" s="106" t="s">
        <v>216</v>
      </c>
      <c r="C5" s="105" t="s">
        <v>262</v>
      </c>
      <c r="E5" s="107" t="s">
        <v>268</v>
      </c>
      <c r="F5" s="105" t="s">
        <v>290</v>
      </c>
    </row>
    <row r="6" spans="1:6" ht="14.25" x14ac:dyDescent="0.45">
      <c r="A6" s="106" t="s">
        <v>217</v>
      </c>
      <c r="B6" s="106" t="s">
        <v>218</v>
      </c>
      <c r="C6" s="105" t="s">
        <v>263</v>
      </c>
      <c r="E6" s="107" t="s">
        <v>269</v>
      </c>
      <c r="F6" s="105" t="s">
        <v>291</v>
      </c>
    </row>
    <row r="7" spans="1:6" ht="14.25" x14ac:dyDescent="0.45">
      <c r="A7" s="106" t="s">
        <v>219</v>
      </c>
      <c r="B7" s="106" t="s">
        <v>220</v>
      </c>
      <c r="C7" s="105" t="s">
        <v>264</v>
      </c>
      <c r="E7" s="107" t="s">
        <v>270</v>
      </c>
      <c r="F7" s="105" t="s">
        <v>292</v>
      </c>
    </row>
    <row r="8" spans="1:6" ht="14.25" x14ac:dyDescent="0.45">
      <c r="A8" s="106" t="s">
        <v>221</v>
      </c>
      <c r="B8" s="106" t="s">
        <v>222</v>
      </c>
      <c r="C8" s="105" t="s">
        <v>250</v>
      </c>
      <c r="E8" s="107" t="s">
        <v>172</v>
      </c>
      <c r="F8" s="105" t="s">
        <v>293</v>
      </c>
    </row>
    <row r="9" spans="1:6" ht="14.25" x14ac:dyDescent="0.45">
      <c r="A9" s="106" t="s">
        <v>223</v>
      </c>
      <c r="B9" s="106" t="s">
        <v>224</v>
      </c>
      <c r="C9" s="105" t="s">
        <v>251</v>
      </c>
      <c r="E9" s="107" t="s">
        <v>271</v>
      </c>
      <c r="F9" s="105" t="s">
        <v>317</v>
      </c>
    </row>
    <row r="10" spans="1:6" ht="14.25" x14ac:dyDescent="0.45">
      <c r="A10" s="106" t="s">
        <v>225</v>
      </c>
      <c r="B10" s="106" t="s">
        <v>226</v>
      </c>
      <c r="C10" s="105" t="s">
        <v>252</v>
      </c>
      <c r="E10" s="107" t="s">
        <v>149</v>
      </c>
      <c r="F10" s="107" t="s">
        <v>294</v>
      </c>
    </row>
    <row r="11" spans="1:6" ht="14.25" x14ac:dyDescent="0.45">
      <c r="A11" s="106" t="s">
        <v>227</v>
      </c>
      <c r="B11" s="106" t="s">
        <v>228</v>
      </c>
      <c r="C11" s="105" t="s">
        <v>253</v>
      </c>
      <c r="E11" s="107" t="s">
        <v>272</v>
      </c>
      <c r="F11" s="105" t="s">
        <v>319</v>
      </c>
    </row>
    <row r="12" spans="1:6" ht="14.25" x14ac:dyDescent="0.45">
      <c r="A12" s="106" t="s">
        <v>229</v>
      </c>
      <c r="B12" s="106" t="s">
        <v>230</v>
      </c>
      <c r="C12" s="105" t="s">
        <v>254</v>
      </c>
      <c r="E12" s="107" t="s">
        <v>131</v>
      </c>
      <c r="F12" s="107" t="s">
        <v>295</v>
      </c>
    </row>
    <row r="13" spans="1:6" ht="14.25" x14ac:dyDescent="0.45">
      <c r="A13" s="106" t="s">
        <v>231</v>
      </c>
      <c r="B13" s="106" t="s">
        <v>232</v>
      </c>
      <c r="C13" s="105" t="s">
        <v>255</v>
      </c>
      <c r="E13" s="107" t="s">
        <v>139</v>
      </c>
      <c r="F13" s="107" t="s">
        <v>296</v>
      </c>
    </row>
    <row r="14" spans="1:6" ht="14.25" x14ac:dyDescent="0.45">
      <c r="A14" s="106" t="s">
        <v>233</v>
      </c>
      <c r="B14" s="106" t="s">
        <v>234</v>
      </c>
      <c r="C14" s="105" t="s">
        <v>256</v>
      </c>
      <c r="E14" s="107" t="s">
        <v>158</v>
      </c>
      <c r="F14" s="107" t="s">
        <v>297</v>
      </c>
    </row>
    <row r="15" spans="1:6" ht="14.25" x14ac:dyDescent="0.45">
      <c r="A15" s="106" t="s">
        <v>235</v>
      </c>
      <c r="B15" s="106" t="s">
        <v>236</v>
      </c>
      <c r="C15" s="105" t="s">
        <v>257</v>
      </c>
      <c r="E15" s="107" t="s">
        <v>273</v>
      </c>
      <c r="F15" s="107" t="s">
        <v>298</v>
      </c>
    </row>
    <row r="16" spans="1:6" ht="14.25" x14ac:dyDescent="0.45">
      <c r="A16" s="106" t="s">
        <v>237</v>
      </c>
      <c r="B16" s="106" t="s">
        <v>238</v>
      </c>
      <c r="C16" s="105" t="s">
        <v>258</v>
      </c>
      <c r="E16" s="107" t="s">
        <v>162</v>
      </c>
      <c r="F16" s="107" t="s">
        <v>299</v>
      </c>
    </row>
    <row r="17" spans="1:6" ht="14.25" x14ac:dyDescent="0.45">
      <c r="A17" s="106" t="s">
        <v>239</v>
      </c>
      <c r="B17" s="106" t="s">
        <v>240</v>
      </c>
      <c r="C17" s="105" t="s">
        <v>259</v>
      </c>
      <c r="E17" s="107" t="s">
        <v>156</v>
      </c>
      <c r="F17" s="107" t="s">
        <v>300</v>
      </c>
    </row>
    <row r="18" spans="1:6" ht="14.25" x14ac:dyDescent="0.45">
      <c r="A18" s="106" t="s">
        <v>241</v>
      </c>
      <c r="B18" s="106" t="s">
        <v>242</v>
      </c>
      <c r="C18" s="105" t="s">
        <v>157</v>
      </c>
      <c r="E18" s="107" t="s">
        <v>137</v>
      </c>
      <c r="F18" s="107" t="s">
        <v>301</v>
      </c>
    </row>
    <row r="19" spans="1:6" ht="14.25" x14ac:dyDescent="0.45">
      <c r="A19" s="106" t="s">
        <v>243</v>
      </c>
      <c r="B19" s="106" t="s">
        <v>244</v>
      </c>
      <c r="C19" s="105" t="s">
        <v>260</v>
      </c>
      <c r="E19" s="107" t="s">
        <v>274</v>
      </c>
      <c r="F19" s="107" t="s">
        <v>302</v>
      </c>
    </row>
    <row r="20" spans="1:6" ht="14.25" x14ac:dyDescent="0.45">
      <c r="A20" s="106" t="s">
        <v>245</v>
      </c>
      <c r="B20" s="106" t="s">
        <v>246</v>
      </c>
      <c r="C20" s="105" t="s">
        <v>261</v>
      </c>
      <c r="E20" s="107" t="s">
        <v>142</v>
      </c>
      <c r="F20" s="107" t="s">
        <v>288</v>
      </c>
    </row>
    <row r="21" spans="1:6" x14ac:dyDescent="0.35">
      <c r="E21" s="107" t="s">
        <v>275</v>
      </c>
      <c r="F21" s="105" t="s">
        <v>318</v>
      </c>
    </row>
    <row r="22" spans="1:6" x14ac:dyDescent="0.35">
      <c r="E22" s="107" t="s">
        <v>276</v>
      </c>
      <c r="F22" s="105" t="s">
        <v>303</v>
      </c>
    </row>
    <row r="23" spans="1:6" x14ac:dyDescent="0.35">
      <c r="E23" s="107" t="s">
        <v>140</v>
      </c>
      <c r="F23" s="105" t="s">
        <v>304</v>
      </c>
    </row>
    <row r="24" spans="1:6" x14ac:dyDescent="0.35">
      <c r="E24" s="107" t="s">
        <v>132</v>
      </c>
      <c r="F24" s="105" t="s">
        <v>305</v>
      </c>
    </row>
    <row r="25" spans="1:6" x14ac:dyDescent="0.35">
      <c r="E25" s="107" t="s">
        <v>145</v>
      </c>
      <c r="F25" s="105" t="s">
        <v>306</v>
      </c>
    </row>
    <row r="26" spans="1:6" x14ac:dyDescent="0.35">
      <c r="E26" s="107" t="s">
        <v>277</v>
      </c>
      <c r="F26" s="105" t="s">
        <v>307</v>
      </c>
    </row>
    <row r="27" spans="1:6" x14ac:dyDescent="0.35">
      <c r="E27" s="107" t="s">
        <v>148</v>
      </c>
      <c r="F27" s="105" t="s">
        <v>308</v>
      </c>
    </row>
    <row r="28" spans="1:6" x14ac:dyDescent="0.35">
      <c r="E28" s="107" t="s">
        <v>185</v>
      </c>
      <c r="F28" s="105" t="s">
        <v>309</v>
      </c>
    </row>
    <row r="29" spans="1:6" x14ac:dyDescent="0.35">
      <c r="E29" s="107" t="s">
        <v>278</v>
      </c>
      <c r="F29" s="105" t="s">
        <v>310</v>
      </c>
    </row>
    <row r="30" spans="1:6" x14ac:dyDescent="0.35">
      <c r="E30" s="107" t="s">
        <v>279</v>
      </c>
      <c r="F30" s="105" t="s">
        <v>311</v>
      </c>
    </row>
    <row r="31" spans="1:6" x14ac:dyDescent="0.35">
      <c r="E31" s="107" t="s">
        <v>159</v>
      </c>
      <c r="F31" s="105" t="s">
        <v>312</v>
      </c>
    </row>
    <row r="32" spans="1:6" x14ac:dyDescent="0.35">
      <c r="E32" s="107" t="s">
        <v>280</v>
      </c>
      <c r="F32" s="105" t="s">
        <v>313</v>
      </c>
    </row>
    <row r="33" spans="5:6" x14ac:dyDescent="0.35">
      <c r="E33" s="107" t="s">
        <v>281</v>
      </c>
      <c r="F33" s="105" t="s">
        <v>314</v>
      </c>
    </row>
    <row r="34" spans="5:6" x14ac:dyDescent="0.35">
      <c r="E34" s="107" t="s">
        <v>282</v>
      </c>
      <c r="F34" s="105" t="s">
        <v>315</v>
      </c>
    </row>
    <row r="35" spans="5:6" x14ac:dyDescent="0.35">
      <c r="E35" s="107" t="s">
        <v>283</v>
      </c>
      <c r="F35" s="105" t="s">
        <v>316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B1:BM95"/>
  <sheetViews>
    <sheetView showGridLines="0" showRowColHeaders="0" tabSelected="1" zoomScaleNormal="100" workbookViewId="0"/>
  </sheetViews>
  <sheetFormatPr baseColWidth="10" defaultColWidth="11.3984375" defaultRowHeight="12.75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16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ref="K17:X17" si="12">K7-J7</f>
        <v>0</v>
      </c>
      <c r="L17" s="87">
        <f t="shared" si="12"/>
        <v>0</v>
      </c>
      <c r="M17" s="87">
        <f t="shared" si="12"/>
        <v>0</v>
      </c>
      <c r="N17" s="87">
        <f t="shared" si="12"/>
        <v>0</v>
      </c>
      <c r="O17" s="87">
        <f t="shared" si="12"/>
        <v>0</v>
      </c>
      <c r="P17" s="87">
        <f t="shared" si="12"/>
        <v>0</v>
      </c>
      <c r="Q17" s="87">
        <f t="shared" si="12"/>
        <v>0</v>
      </c>
      <c r="R17" s="87">
        <f t="shared" si="12"/>
        <v>0</v>
      </c>
      <c r="S17" s="87">
        <f t="shared" si="12"/>
        <v>0</v>
      </c>
      <c r="T17" s="87">
        <f t="shared" si="12"/>
        <v>0</v>
      </c>
      <c r="U17" s="87">
        <f t="shared" si="12"/>
        <v>0</v>
      </c>
      <c r="V17" s="87">
        <f t="shared" si="12"/>
        <v>0</v>
      </c>
      <c r="W17" s="87">
        <f t="shared" si="12"/>
        <v>0</v>
      </c>
      <c r="X17" s="87">
        <f t="shared" si="12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ref="K18:X18" si="13">K8-J8</f>
        <v>0</v>
      </c>
      <c r="L18" s="87">
        <f t="shared" si="13"/>
        <v>0</v>
      </c>
      <c r="M18" s="87">
        <f t="shared" si="13"/>
        <v>0</v>
      </c>
      <c r="N18" s="87">
        <f t="shared" si="13"/>
        <v>0</v>
      </c>
      <c r="O18" s="87">
        <f t="shared" si="13"/>
        <v>0</v>
      </c>
      <c r="P18" s="87">
        <f t="shared" si="13"/>
        <v>0</v>
      </c>
      <c r="Q18" s="87">
        <f t="shared" si="13"/>
        <v>0</v>
      </c>
      <c r="R18" s="87">
        <f t="shared" si="13"/>
        <v>0</v>
      </c>
      <c r="S18" s="87">
        <f t="shared" si="13"/>
        <v>0</v>
      </c>
      <c r="T18" s="87">
        <f t="shared" si="13"/>
        <v>0</v>
      </c>
      <c r="U18" s="87">
        <f t="shared" si="13"/>
        <v>0</v>
      </c>
      <c r="V18" s="87">
        <f t="shared" si="13"/>
        <v>0</v>
      </c>
      <c r="W18" s="87">
        <f t="shared" si="13"/>
        <v>0</v>
      </c>
      <c r="X18" s="87">
        <f t="shared" si="13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ref="K19:X19" si="14">K9-J9</f>
        <v>0</v>
      </c>
      <c r="L19" s="87">
        <f t="shared" si="14"/>
        <v>0</v>
      </c>
      <c r="M19" s="87">
        <f t="shared" si="14"/>
        <v>0</v>
      </c>
      <c r="N19" s="87">
        <f t="shared" si="14"/>
        <v>0</v>
      </c>
      <c r="O19" s="87">
        <f t="shared" si="14"/>
        <v>0</v>
      </c>
      <c r="P19" s="87">
        <f t="shared" si="14"/>
        <v>0</v>
      </c>
      <c r="Q19" s="87">
        <f t="shared" si="14"/>
        <v>0</v>
      </c>
      <c r="R19" s="87">
        <f t="shared" si="14"/>
        <v>0</v>
      </c>
      <c r="S19" s="87">
        <f t="shared" si="14"/>
        <v>0</v>
      </c>
      <c r="T19" s="87">
        <f t="shared" si="14"/>
        <v>0</v>
      </c>
      <c r="U19" s="87">
        <f t="shared" si="14"/>
        <v>0</v>
      </c>
      <c r="V19" s="87">
        <f t="shared" si="14"/>
        <v>0</v>
      </c>
      <c r="W19" s="87">
        <f t="shared" si="14"/>
        <v>0</v>
      </c>
      <c r="X19" s="87">
        <f t="shared" si="14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ref="K20:X20" si="15">K10-J10</f>
        <v>0</v>
      </c>
      <c r="L20" s="87">
        <f t="shared" si="15"/>
        <v>0</v>
      </c>
      <c r="M20" s="87">
        <f t="shared" si="15"/>
        <v>0</v>
      </c>
      <c r="N20" s="87">
        <f t="shared" si="15"/>
        <v>0</v>
      </c>
      <c r="O20" s="87">
        <f t="shared" si="15"/>
        <v>0</v>
      </c>
      <c r="P20" s="87">
        <f t="shared" si="15"/>
        <v>0</v>
      </c>
      <c r="Q20" s="87">
        <f t="shared" si="15"/>
        <v>0</v>
      </c>
      <c r="R20" s="87">
        <f t="shared" si="15"/>
        <v>0</v>
      </c>
      <c r="S20" s="87">
        <f t="shared" si="15"/>
        <v>0</v>
      </c>
      <c r="T20" s="87">
        <f t="shared" si="15"/>
        <v>0</v>
      </c>
      <c r="U20" s="87">
        <f t="shared" si="15"/>
        <v>0</v>
      </c>
      <c r="V20" s="87">
        <f t="shared" si="15"/>
        <v>0</v>
      </c>
      <c r="W20" s="87">
        <f t="shared" si="15"/>
        <v>0</v>
      </c>
      <c r="X20" s="87">
        <f t="shared" si="15"/>
        <v>0</v>
      </c>
      <c r="Y20"/>
      <c r="Z20"/>
      <c r="AA20"/>
      <c r="AC20" s="8" t="e">
        <f>100/(AI23/(100*(100/($D$15/100))))</f>
        <v>#DIV/0!</v>
      </c>
      <c r="AD20" s="8" t="e">
        <f t="shared" ref="AD20:AQ20" si="16">+$AC$20*J5</f>
        <v>#DIV/0!</v>
      </c>
      <c r="AE20" s="8" t="e">
        <f t="shared" si="16"/>
        <v>#DIV/0!</v>
      </c>
      <c r="AF20" s="8" t="e">
        <f t="shared" si="16"/>
        <v>#DIV/0!</v>
      </c>
      <c r="AG20" s="8" t="e">
        <f t="shared" si="16"/>
        <v>#DIV/0!</v>
      </c>
      <c r="AH20" s="8" t="e">
        <f t="shared" si="16"/>
        <v>#DIV/0!</v>
      </c>
      <c r="AI20" s="8" t="e">
        <f t="shared" si="16"/>
        <v>#DIV/0!</v>
      </c>
      <c r="AJ20" s="8" t="e">
        <f t="shared" si="16"/>
        <v>#DIV/0!</v>
      </c>
      <c r="AK20" s="8" t="e">
        <f t="shared" si="16"/>
        <v>#DIV/0!</v>
      </c>
      <c r="AL20" s="8" t="e">
        <f t="shared" si="16"/>
        <v>#DIV/0!</v>
      </c>
      <c r="AM20" s="8" t="e">
        <f t="shared" si="16"/>
        <v>#DIV/0!</v>
      </c>
      <c r="AN20" s="8" t="e">
        <f t="shared" si="16"/>
        <v>#DIV/0!</v>
      </c>
      <c r="AO20" s="8" t="e">
        <f t="shared" si="16"/>
        <v>#DIV/0!</v>
      </c>
      <c r="AP20" s="8" t="e">
        <f t="shared" si="16"/>
        <v>#DIV/0!</v>
      </c>
      <c r="AQ20" s="8" t="e">
        <f t="shared" si="16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ref="K21:X21" si="17">K11-J11</f>
        <v>0</v>
      </c>
      <c r="L21" s="87">
        <f t="shared" si="17"/>
        <v>0</v>
      </c>
      <c r="M21" s="87">
        <f t="shared" si="17"/>
        <v>0</v>
      </c>
      <c r="N21" s="87">
        <f t="shared" si="17"/>
        <v>0</v>
      </c>
      <c r="O21" s="87">
        <f t="shared" si="17"/>
        <v>0</v>
      </c>
      <c r="P21" s="87">
        <f t="shared" si="17"/>
        <v>0</v>
      </c>
      <c r="Q21" s="87">
        <f t="shared" si="17"/>
        <v>0</v>
      </c>
      <c r="R21" s="87">
        <f t="shared" si="17"/>
        <v>0</v>
      </c>
      <c r="S21" s="87">
        <f t="shared" si="17"/>
        <v>0</v>
      </c>
      <c r="T21" s="87">
        <f t="shared" si="17"/>
        <v>0</v>
      </c>
      <c r="U21" s="87">
        <f t="shared" si="17"/>
        <v>0</v>
      </c>
      <c r="V21" s="87">
        <f t="shared" si="17"/>
        <v>0</v>
      </c>
      <c r="W21" s="87">
        <f t="shared" si="17"/>
        <v>0</v>
      </c>
      <c r="X21" s="87">
        <f t="shared" si="17"/>
        <v>0</v>
      </c>
      <c r="Y21"/>
      <c r="Z21"/>
      <c r="AA21"/>
      <c r="AC21" s="8">
        <f t="shared" ref="AC21:AQ21" si="18">+$AN$5+($D$15/100)</f>
        <v>0.25</v>
      </c>
      <c r="AD21" s="8">
        <f t="shared" si="18"/>
        <v>0.25</v>
      </c>
      <c r="AE21" s="8">
        <f t="shared" si="18"/>
        <v>0.25</v>
      </c>
      <c r="AF21" s="8">
        <f t="shared" si="18"/>
        <v>0.25</v>
      </c>
      <c r="AG21" s="8">
        <f t="shared" si="18"/>
        <v>0.25</v>
      </c>
      <c r="AH21" s="8">
        <f t="shared" si="18"/>
        <v>0.25</v>
      </c>
      <c r="AI21" s="8">
        <f t="shared" si="18"/>
        <v>0.25</v>
      </c>
      <c r="AJ21" s="8">
        <f t="shared" si="18"/>
        <v>0.25</v>
      </c>
      <c r="AK21" s="8">
        <f t="shared" si="18"/>
        <v>0.25</v>
      </c>
      <c r="AL21" s="8">
        <f t="shared" si="18"/>
        <v>0.25</v>
      </c>
      <c r="AM21" s="8">
        <f t="shared" si="18"/>
        <v>0.25</v>
      </c>
      <c r="AN21" s="8">
        <f t="shared" si="18"/>
        <v>0.25</v>
      </c>
      <c r="AO21" s="8">
        <f t="shared" si="18"/>
        <v>0.25</v>
      </c>
      <c r="AP21" s="8">
        <f t="shared" si="18"/>
        <v>0.25</v>
      </c>
      <c r="AQ21" s="8">
        <f t="shared" si="18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WLBs1+FV1o6S/ub0wh4t7TLKCMfTYVp82HowdQ3Mg8u8SXA/+syPPzjMla2WNgndtGiCdccvMce8wYA5UNkFrQ==" saltValue="eMCBL2IolGP6ac6BboC+mg==" spinCount="100000" sheet="1" objects="1" scenarios="1"/>
  <protectedRanges>
    <protectedRange sqref="C2 G2 P2 C4:C5 J6:X11 B7 B9 B11 B13 J30 D15" name="Rango1"/>
  </protectedRanges>
  <mergeCells count="22">
    <mergeCell ref="AC3:AF3"/>
    <mergeCell ref="AG3:AJ3"/>
    <mergeCell ref="AK3:AN3"/>
    <mergeCell ref="AK4:AL4"/>
    <mergeCell ref="AM4:AN4"/>
    <mergeCell ref="AI4:AJ4"/>
    <mergeCell ref="B1:X1"/>
    <mergeCell ref="G2:H2"/>
    <mergeCell ref="B11:C11"/>
    <mergeCell ref="B9:C9"/>
    <mergeCell ref="B13:C13"/>
    <mergeCell ref="C2:E2"/>
    <mergeCell ref="P2:R2"/>
    <mergeCell ref="H6:H7"/>
    <mergeCell ref="H8:H9"/>
    <mergeCell ref="H4:X4"/>
    <mergeCell ref="H10:H11"/>
    <mergeCell ref="J30:Z37"/>
    <mergeCell ref="B21:C21"/>
    <mergeCell ref="AC4:AD4"/>
    <mergeCell ref="AE4:AF4"/>
    <mergeCell ref="AG4:AH4"/>
  </mergeCells>
  <phoneticPr fontId="19" type="noConversion"/>
  <conditionalFormatting sqref="D15">
    <cfRule type="cellIs" dxfId="240" priority="38" stopIfTrue="1" operator="between">
      <formula>0</formula>
      <formula>1</formula>
    </cfRule>
  </conditionalFormatting>
  <conditionalFormatting sqref="G6:G11">
    <cfRule type="dataBar" priority="14">
      <dataBar>
        <cfvo type="min"/>
        <cfvo type="max"/>
        <color rgb="FF63C384"/>
      </dataBar>
    </cfRule>
  </conditionalFormatting>
  <conditionalFormatting sqref="J16:X2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9" priority="33" stopIfTrue="1" operator="between">
      <formula>0</formula>
      <formula>7</formula>
    </cfRule>
    <cfRule type="cellIs" dxfId="238" priority="34" stopIfTrue="1" operator="greaterThan">
      <formula>40</formula>
    </cfRule>
  </conditionalFormatting>
  <conditionalFormatting sqref="K6:X11">
    <cfRule type="expression" dxfId="237" priority="2" stopIfTrue="1">
      <formula>K6&lt;J6</formula>
    </cfRule>
    <cfRule type="expression" dxfId="236" priority="5" stopIfTrue="1">
      <formula>K6&lt;J6</formula>
    </cfRule>
    <cfRule type="expression" dxfId="235" priority="8" stopIfTrue="1">
      <formula>K6&lt;J6</formula>
    </cfRule>
    <cfRule type="expression" dxfId="234" priority="12" stopIfTrue="1">
      <formula>K6&lt;J6</formula>
    </cfRule>
  </conditionalFormatting>
  <conditionalFormatting sqref="U6:V11">
    <cfRule type="expression" dxfId="233" priority="1" stopIfTrue="1">
      <formula>U6&lt;S6</formula>
    </cfRule>
    <cfRule type="expression" dxfId="232" priority="4" stopIfTrue="1">
      <formula>U6&lt;S6</formula>
    </cfRule>
    <cfRule type="expression" dxfId="231" priority="7" stopIfTrue="1">
      <formula>U6&lt;S6</formula>
    </cfRule>
    <cfRule type="expression" dxfId="230" priority="11" stopIfTrue="1">
      <formula>U6&lt;S6</formula>
    </cfRule>
  </conditionalFormatting>
  <conditionalFormatting sqref="W6:X11">
    <cfRule type="expression" dxfId="229" priority="10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ignoredErrors>
    <ignoredError sqref="AS16 AU16 AV16:AW16 AY16" formula="1"/>
  </ignoredErrors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2000000}">
          <x14:formula1>
            <xm:f>Listado!$C$2:$C$20</xm:f>
          </x14:formula1>
          <xm:sqref>C5</xm:sqref>
        </x14:dataValidation>
        <x14:dataValidation type="list" allowBlank="1" showInputMessage="1" showErrorMessage="1" xr:uid="{00000000-0002-0000-0300-000003000000}">
          <x14:formula1>
            <xm:f>Listado!$F$2:$F$35</xm:f>
          </x14:formula1>
          <xm:sqref>B9:C9</xm:sqref>
        </x14:dataValidation>
        <x14:dataValidation type="list" allowBlank="1" showInputMessage="1" showErrorMessage="1" xr:uid="{00000000-0002-0000-0300-000000000000}">
          <x14:formula1>
            <xm:f>'Lotes App'!$B$2:$B$183</xm:f>
          </x14:formula1>
          <xm:sqref>C2:E2</xm:sqref>
        </x14:dataValidation>
        <x14:dataValidation type="list" allowBlank="1" showInputMessage="1" showErrorMessage="1" xr:uid="{00000000-0002-0000-0300-000001000000}">
          <x14:formula1>
            <xm:f>'Lotes App'!$C$2:$C$183</xm:f>
          </x14:formula1>
          <xm:sqref>C4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FDCA-3FEA-4379-AB0E-E24360705D51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C/OmH0zz5NzxSSkEd7GvJtxs+FhLwmpDOrxJ7YWs24oGhr6ynexA2mtfL1fb3AYKOT8skEidiackNmsz+MbzYw==" saltValue="iKkji1o8A/kDxUkE1aq5lg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228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7" priority="12" stopIfTrue="1" operator="between">
      <formula>0</formula>
      <formula>7</formula>
    </cfRule>
    <cfRule type="cellIs" dxfId="226" priority="13" stopIfTrue="1" operator="greaterThan">
      <formula>40</formula>
    </cfRule>
  </conditionalFormatting>
  <conditionalFormatting sqref="K6:X11">
    <cfRule type="expression" dxfId="225" priority="2" stopIfTrue="1">
      <formula>K6&lt;J6</formula>
    </cfRule>
    <cfRule type="expression" dxfId="224" priority="4" stopIfTrue="1">
      <formula>K6&lt;J6</formula>
    </cfRule>
    <cfRule type="expression" dxfId="223" priority="6" stopIfTrue="1">
      <formula>K6&lt;J6</formula>
    </cfRule>
    <cfRule type="expression" dxfId="222" priority="9" stopIfTrue="1">
      <formula>K6&lt;J6</formula>
    </cfRule>
  </conditionalFormatting>
  <conditionalFormatting sqref="U6:V11">
    <cfRule type="expression" dxfId="221" priority="1" stopIfTrue="1">
      <formula>U6&lt;S6</formula>
    </cfRule>
    <cfRule type="expression" dxfId="220" priority="3" stopIfTrue="1">
      <formula>U6&lt;S6</formula>
    </cfRule>
    <cfRule type="expression" dxfId="219" priority="5" stopIfTrue="1">
      <formula>U6&lt;S6</formula>
    </cfRule>
    <cfRule type="expression" dxfId="218" priority="8" stopIfTrue="1">
      <formula>U6&lt;S6</formula>
    </cfRule>
  </conditionalFormatting>
  <conditionalFormatting sqref="W6:X11">
    <cfRule type="expression" dxfId="217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401276D-47D1-4FA2-9881-FD5C443099BA}">
          <x14:formula1>
            <xm:f>Listado!$F$2:$F$35</xm:f>
          </x14:formula1>
          <xm:sqref>B9:C9</xm:sqref>
        </x14:dataValidation>
        <x14:dataValidation type="list" allowBlank="1" showInputMessage="1" showErrorMessage="1" xr:uid="{4EFF4E4F-7520-422D-A8EB-2A2A70BFBA00}">
          <x14:formula1>
            <xm:f>Listado!$C$2:$C$20</xm:f>
          </x14:formula1>
          <xm:sqref>C5</xm:sqref>
        </x14:dataValidation>
        <x14:dataValidation type="list" allowBlank="1" showInputMessage="1" showErrorMessage="1" xr:uid="{0EFA1BD3-F6DC-4081-B408-B3F2FBFFC792}">
          <x14:formula1>
            <xm:f>'Lotes App'!$C$2:$C$183</xm:f>
          </x14:formula1>
          <xm:sqref>C4</xm:sqref>
        </x14:dataValidation>
        <x14:dataValidation type="list" allowBlank="1" showInputMessage="1" showErrorMessage="1" xr:uid="{A7112B0C-F0E6-4E93-BE8C-58D6E897F13C}">
          <x14:formula1>
            <xm:f>'Lotes App'!$B$2:$B$183</xm:f>
          </x14:formula1>
          <xm:sqref>C2:E2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4D83-6773-4FF6-9158-B65B3B9E4D33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Esum5fIeXpku4QU4R+LMMeL0MetxTf0w7QpE2GiuDsmVICyDUPHUo3gZR1EQWm/G2B7QbZwjO3PyxIli40vWPg==" saltValue="sqWPzxUsuu1WyhyInaGdOg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216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5" priority="12" stopIfTrue="1" operator="between">
      <formula>0</formula>
      <formula>7</formula>
    </cfRule>
    <cfRule type="cellIs" dxfId="214" priority="13" stopIfTrue="1" operator="greaterThan">
      <formula>40</formula>
    </cfRule>
  </conditionalFormatting>
  <conditionalFormatting sqref="K6:X11">
    <cfRule type="expression" dxfId="213" priority="2" stopIfTrue="1">
      <formula>K6&lt;J6</formula>
    </cfRule>
    <cfRule type="expression" dxfId="212" priority="4" stopIfTrue="1">
      <formula>K6&lt;J6</formula>
    </cfRule>
    <cfRule type="expression" dxfId="211" priority="6" stopIfTrue="1">
      <formula>K6&lt;J6</formula>
    </cfRule>
    <cfRule type="expression" dxfId="210" priority="9" stopIfTrue="1">
      <formula>K6&lt;J6</formula>
    </cfRule>
  </conditionalFormatting>
  <conditionalFormatting sqref="U6:V11">
    <cfRule type="expression" dxfId="209" priority="1" stopIfTrue="1">
      <formula>U6&lt;S6</formula>
    </cfRule>
    <cfRule type="expression" dxfId="208" priority="3" stopIfTrue="1">
      <formula>U6&lt;S6</formula>
    </cfRule>
    <cfRule type="expression" dxfId="207" priority="5" stopIfTrue="1">
      <formula>U6&lt;S6</formula>
    </cfRule>
    <cfRule type="expression" dxfId="206" priority="8" stopIfTrue="1">
      <formula>U6&lt;S6</formula>
    </cfRule>
  </conditionalFormatting>
  <conditionalFormatting sqref="W6:X11">
    <cfRule type="expression" dxfId="205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B6D7F5C-077F-42D3-9FA4-3573E7B7D9E1}">
          <x14:formula1>
            <xm:f>Listado!$F$2:$F$35</xm:f>
          </x14:formula1>
          <xm:sqref>B9:C9</xm:sqref>
        </x14:dataValidation>
        <x14:dataValidation type="list" allowBlank="1" showInputMessage="1" showErrorMessage="1" xr:uid="{1E470356-8F02-4FBA-A94B-2AD93D272402}">
          <x14:formula1>
            <xm:f>Listado!$C$2:$C$20</xm:f>
          </x14:formula1>
          <xm:sqref>C5</xm:sqref>
        </x14:dataValidation>
        <x14:dataValidation type="list" allowBlank="1" showInputMessage="1" showErrorMessage="1" xr:uid="{8A08B796-BC6B-4039-808F-E3E4BA18E670}">
          <x14:formula1>
            <xm:f>'Lotes App'!$C$2:$C$183</xm:f>
          </x14:formula1>
          <xm:sqref>C4</xm:sqref>
        </x14:dataValidation>
        <x14:dataValidation type="list" allowBlank="1" showInputMessage="1" showErrorMessage="1" xr:uid="{748DA849-87D7-4533-9564-3A66CCF57B35}">
          <x14:formula1>
            <xm:f>'Lotes App'!$B$2:$B$183</xm:f>
          </x14:formula1>
          <xm:sqref>C2:E2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63A0-F9A7-40B0-AECB-3D5CC7B8D297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wzbyTxHA/+Um49uCAjTRLVY27HfKWlwAjWJSnt8SO5THXl40BSB+2x4Pfj1e/vxBWJ9U3Zs/7ZLOIJkoaJirVQ==" saltValue="EyrQ6JHO+KIIx7YPr1rCOw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204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3" priority="12" stopIfTrue="1" operator="between">
      <formula>0</formula>
      <formula>7</formula>
    </cfRule>
    <cfRule type="cellIs" dxfId="202" priority="13" stopIfTrue="1" operator="greaterThan">
      <formula>40</formula>
    </cfRule>
  </conditionalFormatting>
  <conditionalFormatting sqref="K6:X11">
    <cfRule type="expression" dxfId="201" priority="2" stopIfTrue="1">
      <formula>K6&lt;J6</formula>
    </cfRule>
    <cfRule type="expression" dxfId="200" priority="4" stopIfTrue="1">
      <formula>K6&lt;J6</formula>
    </cfRule>
    <cfRule type="expression" dxfId="199" priority="6" stopIfTrue="1">
      <formula>K6&lt;J6</formula>
    </cfRule>
    <cfRule type="expression" dxfId="198" priority="9" stopIfTrue="1">
      <formula>K6&lt;J6</formula>
    </cfRule>
  </conditionalFormatting>
  <conditionalFormatting sqref="U6:V11">
    <cfRule type="expression" dxfId="197" priority="1" stopIfTrue="1">
      <formula>U6&lt;S6</formula>
    </cfRule>
    <cfRule type="expression" dxfId="196" priority="3" stopIfTrue="1">
      <formula>U6&lt;S6</formula>
    </cfRule>
    <cfRule type="expression" dxfId="195" priority="5" stopIfTrue="1">
      <formula>U6&lt;S6</formula>
    </cfRule>
    <cfRule type="expression" dxfId="194" priority="8" stopIfTrue="1">
      <formula>U6&lt;S6</formula>
    </cfRule>
  </conditionalFormatting>
  <conditionalFormatting sqref="W6:X11">
    <cfRule type="expression" dxfId="193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1D8F0F6-69EF-4B76-9A71-1BE349DA8CD7}">
          <x14:formula1>
            <xm:f>Listado!$C$2:$C$20</xm:f>
          </x14:formula1>
          <xm:sqref>C5</xm:sqref>
        </x14:dataValidation>
        <x14:dataValidation type="list" allowBlank="1" showInputMessage="1" showErrorMessage="1" xr:uid="{6699D3EA-4A7B-4AEF-B0CC-3B52BA28C35F}">
          <x14:formula1>
            <xm:f>Listado!$F$2:$F$35</xm:f>
          </x14:formula1>
          <xm:sqref>B9:C9</xm:sqref>
        </x14:dataValidation>
        <x14:dataValidation type="list" allowBlank="1" showInputMessage="1" showErrorMessage="1" xr:uid="{A22093A3-055A-45D2-B823-D737BE24982E}">
          <x14:formula1>
            <xm:f>'Lotes App'!$B$2:$B$183</xm:f>
          </x14:formula1>
          <xm:sqref>C2:E2</xm:sqref>
        </x14:dataValidation>
        <x14:dataValidation type="list" allowBlank="1" showInputMessage="1" showErrorMessage="1" xr:uid="{975345C6-411F-408F-9A08-82A3FBE99CE9}">
          <x14:formula1>
            <xm:f>'Lotes App'!$C$2:$C$183</xm:f>
          </x14:formula1>
          <xm:sqref>C4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854E-59DD-4277-83EF-B0A26F9948A8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auGy4CvF8qv20ldYFKg+wmI+XM/tGEpaXHCMJImVjt0uws/v5yuZXSxiJtHIxkAJxVJC4b2yqVh/Sr/ZtCajmA==" saltValue="rudgXyC50Zktq+f6XP8F8Q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192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1" priority="12" stopIfTrue="1" operator="between">
      <formula>0</formula>
      <formula>7</formula>
    </cfRule>
    <cfRule type="cellIs" dxfId="190" priority="13" stopIfTrue="1" operator="greaterThan">
      <formula>40</formula>
    </cfRule>
  </conditionalFormatting>
  <conditionalFormatting sqref="K6:X11">
    <cfRule type="expression" dxfId="189" priority="2" stopIfTrue="1">
      <formula>K6&lt;J6</formula>
    </cfRule>
    <cfRule type="expression" dxfId="188" priority="4" stopIfTrue="1">
      <formula>K6&lt;J6</formula>
    </cfRule>
    <cfRule type="expression" dxfId="187" priority="6" stopIfTrue="1">
      <formula>K6&lt;J6</formula>
    </cfRule>
    <cfRule type="expression" dxfId="186" priority="9" stopIfTrue="1">
      <formula>K6&lt;J6</formula>
    </cfRule>
  </conditionalFormatting>
  <conditionalFormatting sqref="U6:V11">
    <cfRule type="expression" dxfId="185" priority="1" stopIfTrue="1">
      <formula>U6&lt;S6</formula>
    </cfRule>
    <cfRule type="expression" dxfId="184" priority="3" stopIfTrue="1">
      <formula>U6&lt;S6</formula>
    </cfRule>
    <cfRule type="expression" dxfId="183" priority="5" stopIfTrue="1">
      <formula>U6&lt;S6</formula>
    </cfRule>
    <cfRule type="expression" dxfId="182" priority="8" stopIfTrue="1">
      <formula>U6&lt;S6</formula>
    </cfRule>
  </conditionalFormatting>
  <conditionalFormatting sqref="W6:X11">
    <cfRule type="expression" dxfId="181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160BB6-B7B5-483C-B00D-710D6771A28D}">
          <x14:formula1>
            <xm:f>Listado!$F$2:$F$35</xm:f>
          </x14:formula1>
          <xm:sqref>B9:C9</xm:sqref>
        </x14:dataValidation>
        <x14:dataValidation type="list" allowBlank="1" showInputMessage="1" showErrorMessage="1" xr:uid="{EBB39B36-9218-4E7A-ACD8-6234E291F93A}">
          <x14:formula1>
            <xm:f>Listado!$C$2:$C$20</xm:f>
          </x14:formula1>
          <xm:sqref>C5</xm:sqref>
        </x14:dataValidation>
        <x14:dataValidation type="list" allowBlank="1" showInputMessage="1" showErrorMessage="1" xr:uid="{C0378F9B-FEAB-444F-9032-42FF34D78680}">
          <x14:formula1>
            <xm:f>'Lotes App'!$C$2:$C$183</xm:f>
          </x14:formula1>
          <xm:sqref>C4</xm:sqref>
        </x14:dataValidation>
        <x14:dataValidation type="list" allowBlank="1" showInputMessage="1" showErrorMessage="1" xr:uid="{D89274C3-0B78-4A86-9F17-F71BC48E5FFB}">
          <x14:formula1>
            <xm:f>'Lotes App'!$B$2:$B$183</xm:f>
          </x14:formula1>
          <xm:sqref>C2:E2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E932-0D46-4DDC-B414-1CD63A8E723F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CynFwGYjNGVDZjVtNb8yHGs0Lj1Pu2WsdPCsDXSMFZjp8cFM/LdU8fJaUg1E1P09CSBj6P6+Rr+uQgrUPOyxJw==" saltValue="dwbUOe0l1PlWWzNaQFECNw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180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9" priority="12" stopIfTrue="1" operator="between">
      <formula>0</formula>
      <formula>7</formula>
    </cfRule>
    <cfRule type="cellIs" dxfId="178" priority="13" stopIfTrue="1" operator="greaterThan">
      <formula>40</formula>
    </cfRule>
  </conditionalFormatting>
  <conditionalFormatting sqref="K6:X11">
    <cfRule type="expression" dxfId="177" priority="2" stopIfTrue="1">
      <formula>K6&lt;J6</formula>
    </cfRule>
    <cfRule type="expression" dxfId="176" priority="4" stopIfTrue="1">
      <formula>K6&lt;J6</formula>
    </cfRule>
    <cfRule type="expression" dxfId="175" priority="6" stopIfTrue="1">
      <formula>K6&lt;J6</formula>
    </cfRule>
    <cfRule type="expression" dxfId="174" priority="9" stopIfTrue="1">
      <formula>K6&lt;J6</formula>
    </cfRule>
  </conditionalFormatting>
  <conditionalFormatting sqref="U6:V11">
    <cfRule type="expression" dxfId="173" priority="1" stopIfTrue="1">
      <formula>U6&lt;S6</formula>
    </cfRule>
    <cfRule type="expression" dxfId="172" priority="3" stopIfTrue="1">
      <formula>U6&lt;S6</formula>
    </cfRule>
    <cfRule type="expression" dxfId="171" priority="5" stopIfTrue="1">
      <formula>U6&lt;S6</formula>
    </cfRule>
    <cfRule type="expression" dxfId="170" priority="8" stopIfTrue="1">
      <formula>U6&lt;S6</formula>
    </cfRule>
  </conditionalFormatting>
  <conditionalFormatting sqref="W6:X11">
    <cfRule type="expression" dxfId="169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B18C5BD-3786-44A4-9D2B-02EE4BB46129}">
          <x14:formula1>
            <xm:f>Listado!$C$2:$C$20</xm:f>
          </x14:formula1>
          <xm:sqref>C5</xm:sqref>
        </x14:dataValidation>
        <x14:dataValidation type="list" allowBlank="1" showInputMessage="1" showErrorMessage="1" xr:uid="{B7350DF1-5A0E-4DCE-9704-EC6DD1301822}">
          <x14:formula1>
            <xm:f>Listado!$F$2:$F$35</xm:f>
          </x14:formula1>
          <xm:sqref>B9:C9</xm:sqref>
        </x14:dataValidation>
        <x14:dataValidation type="list" allowBlank="1" showInputMessage="1" showErrorMessage="1" xr:uid="{A09FEAB7-78CD-4AA4-A528-2F16F33BE657}">
          <x14:formula1>
            <xm:f>'Lotes App'!$B$2:$B$183</xm:f>
          </x14:formula1>
          <xm:sqref>C2:E2</xm:sqref>
        </x14:dataValidation>
        <x14:dataValidation type="list" allowBlank="1" showInputMessage="1" showErrorMessage="1" xr:uid="{04CBE914-9221-4944-BAFE-66507150E755}">
          <x14:formula1>
            <xm:f>'Lotes App'!$C$2:$C$183</xm:f>
          </x14:formula1>
          <xm:sqref>C4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2AEB0-8A62-4944-B47D-8049718F31E6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z9qfm64KJBrJyjOObJ3jOV+iT0GzLZaUChA3gNYNgVEZ79gi/t8U33MMVT0VRPtqVBgLMqQ3usTw+VWXJ0na/w==" saltValue="8nMITQLEoua7Ut42AFtp+g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168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7" priority="12" stopIfTrue="1" operator="between">
      <formula>0</formula>
      <formula>7</formula>
    </cfRule>
    <cfRule type="cellIs" dxfId="166" priority="13" stopIfTrue="1" operator="greaterThan">
      <formula>40</formula>
    </cfRule>
  </conditionalFormatting>
  <conditionalFormatting sqref="K6:X11">
    <cfRule type="expression" dxfId="165" priority="2" stopIfTrue="1">
      <formula>K6&lt;J6</formula>
    </cfRule>
    <cfRule type="expression" dxfId="164" priority="4" stopIfTrue="1">
      <formula>K6&lt;J6</formula>
    </cfRule>
    <cfRule type="expression" dxfId="163" priority="6" stopIfTrue="1">
      <formula>K6&lt;J6</formula>
    </cfRule>
    <cfRule type="expression" dxfId="162" priority="9" stopIfTrue="1">
      <formula>K6&lt;J6</formula>
    </cfRule>
  </conditionalFormatting>
  <conditionalFormatting sqref="U6:V11">
    <cfRule type="expression" dxfId="161" priority="1" stopIfTrue="1">
      <formula>U6&lt;S6</formula>
    </cfRule>
    <cfRule type="expression" dxfId="160" priority="3" stopIfTrue="1">
      <formula>U6&lt;S6</formula>
    </cfRule>
    <cfRule type="expression" dxfId="159" priority="5" stopIfTrue="1">
      <formula>U6&lt;S6</formula>
    </cfRule>
    <cfRule type="expression" dxfId="158" priority="8" stopIfTrue="1">
      <formula>U6&lt;S6</formula>
    </cfRule>
  </conditionalFormatting>
  <conditionalFormatting sqref="W6:X11">
    <cfRule type="expression" dxfId="157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0F4E2FC-C5E7-4310-A829-B68DEE86E971}">
          <x14:formula1>
            <xm:f>Listado!$C$2:$C$20</xm:f>
          </x14:formula1>
          <xm:sqref>C5</xm:sqref>
        </x14:dataValidation>
        <x14:dataValidation type="list" allowBlank="1" showInputMessage="1" showErrorMessage="1" xr:uid="{EADC2472-BD12-460A-B8F6-1882E07EDF49}">
          <x14:formula1>
            <xm:f>Listado!$F$2:$F$35</xm:f>
          </x14:formula1>
          <xm:sqref>B9:C9</xm:sqref>
        </x14:dataValidation>
        <x14:dataValidation type="list" allowBlank="1" showInputMessage="1" showErrorMessage="1" xr:uid="{DB1A34A7-A5B0-42DA-9300-57F769A7731B}">
          <x14:formula1>
            <xm:f>'Lotes App'!$B$2:$B$183</xm:f>
          </x14:formula1>
          <xm:sqref>C2:E2</xm:sqref>
        </x14:dataValidation>
        <x14:dataValidation type="list" allowBlank="1" showInputMessage="1" showErrorMessage="1" xr:uid="{50ECE982-C5BD-4EE0-A00F-28154D5BB92C}">
          <x14:formula1>
            <xm:f>'Lotes App'!$C$2:$C$183</xm:f>
          </x14:formula1>
          <xm:sqref>C4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766C-1674-413F-87CD-C712644C254E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5vQQZLHQWvi4v20/SX2SAz+jAlKPQv6puYEmQnOiS8+/qvRYfD530uC1iWYqIvx6GyxR677lmL6tUZZe52x8Hw==" saltValue="CLYc52OE3eE6ktqL/djQBQ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156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5" priority="12" stopIfTrue="1" operator="between">
      <formula>0</formula>
      <formula>7</formula>
    </cfRule>
    <cfRule type="cellIs" dxfId="154" priority="13" stopIfTrue="1" operator="greaterThan">
      <formula>40</formula>
    </cfRule>
  </conditionalFormatting>
  <conditionalFormatting sqref="K6:X11">
    <cfRule type="expression" dxfId="153" priority="2" stopIfTrue="1">
      <formula>K6&lt;J6</formula>
    </cfRule>
    <cfRule type="expression" dxfId="152" priority="4" stopIfTrue="1">
      <formula>K6&lt;J6</formula>
    </cfRule>
    <cfRule type="expression" dxfId="151" priority="6" stopIfTrue="1">
      <formula>K6&lt;J6</formula>
    </cfRule>
    <cfRule type="expression" dxfId="150" priority="9" stopIfTrue="1">
      <formula>K6&lt;J6</formula>
    </cfRule>
  </conditionalFormatting>
  <conditionalFormatting sqref="U6:V11">
    <cfRule type="expression" dxfId="149" priority="1" stopIfTrue="1">
      <formula>U6&lt;S6</formula>
    </cfRule>
    <cfRule type="expression" dxfId="148" priority="3" stopIfTrue="1">
      <formula>U6&lt;S6</formula>
    </cfRule>
    <cfRule type="expression" dxfId="147" priority="5" stopIfTrue="1">
      <formula>U6&lt;S6</formula>
    </cfRule>
    <cfRule type="expression" dxfId="146" priority="8" stopIfTrue="1">
      <formula>U6&lt;S6</formula>
    </cfRule>
  </conditionalFormatting>
  <conditionalFormatting sqref="W6:X11">
    <cfRule type="expression" dxfId="145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445902C-8015-4247-8B77-DF0919E294CC}">
          <x14:formula1>
            <xm:f>Listado!$F$2:$F$35</xm:f>
          </x14:formula1>
          <xm:sqref>B9:C9</xm:sqref>
        </x14:dataValidation>
        <x14:dataValidation type="list" allowBlank="1" showInputMessage="1" showErrorMessage="1" xr:uid="{65F8ACAC-B6CA-4AEF-9C08-0A759A9E9244}">
          <x14:formula1>
            <xm:f>Listado!$C$2:$C$20</xm:f>
          </x14:formula1>
          <xm:sqref>C5</xm:sqref>
        </x14:dataValidation>
        <x14:dataValidation type="list" allowBlank="1" showInputMessage="1" showErrorMessage="1" xr:uid="{D7460C78-38BB-4F2E-9544-A798E45759CA}">
          <x14:formula1>
            <xm:f>'Lotes App'!$C$2:$C$183</xm:f>
          </x14:formula1>
          <xm:sqref>C4</xm:sqref>
        </x14:dataValidation>
        <x14:dataValidation type="list" allowBlank="1" showInputMessage="1" showErrorMessage="1" xr:uid="{1716040B-6755-4589-A6BE-EE3AC890110F}">
          <x14:formula1>
            <xm:f>'Lotes App'!$B$2:$B$183</xm:f>
          </x14:formula1>
          <xm:sqref>C2:E2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06D8-4A24-4984-90CC-1F5B7C847E35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lpPLYt+SMbIkqpoMHqivY9Rb6AJvcmVg+klV0qS3X9D/pi5klusW3uy3Tb5rizBwFmzq1yZCdoM1tPgfULmE9Q==" saltValue="Vtf7kL9n0BL2ijGb6f1tlg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144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3" priority="12" stopIfTrue="1" operator="between">
      <formula>0</formula>
      <formula>7</formula>
    </cfRule>
    <cfRule type="cellIs" dxfId="142" priority="13" stopIfTrue="1" operator="greaterThan">
      <formula>40</formula>
    </cfRule>
  </conditionalFormatting>
  <conditionalFormatting sqref="K6:X11">
    <cfRule type="expression" dxfId="141" priority="2" stopIfTrue="1">
      <formula>K6&lt;J6</formula>
    </cfRule>
    <cfRule type="expression" dxfId="140" priority="4" stopIfTrue="1">
      <formula>K6&lt;J6</formula>
    </cfRule>
    <cfRule type="expression" dxfId="139" priority="6" stopIfTrue="1">
      <formula>K6&lt;J6</formula>
    </cfRule>
    <cfRule type="expression" dxfId="138" priority="9" stopIfTrue="1">
      <formula>K6&lt;J6</formula>
    </cfRule>
  </conditionalFormatting>
  <conditionalFormatting sqref="U6:V11">
    <cfRule type="expression" dxfId="137" priority="1" stopIfTrue="1">
      <formula>U6&lt;S6</formula>
    </cfRule>
    <cfRule type="expression" dxfId="136" priority="3" stopIfTrue="1">
      <formula>U6&lt;S6</formula>
    </cfRule>
    <cfRule type="expression" dxfId="135" priority="5" stopIfTrue="1">
      <formula>U6&lt;S6</formula>
    </cfRule>
    <cfRule type="expression" dxfId="134" priority="8" stopIfTrue="1">
      <formula>U6&lt;S6</formula>
    </cfRule>
  </conditionalFormatting>
  <conditionalFormatting sqref="W6:X11">
    <cfRule type="expression" dxfId="133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AE2700A-C34D-448D-950B-63E411676158}">
          <x14:formula1>
            <xm:f>Listado!$F$2:$F$35</xm:f>
          </x14:formula1>
          <xm:sqref>B9:C9</xm:sqref>
        </x14:dataValidation>
        <x14:dataValidation type="list" allowBlank="1" showInputMessage="1" showErrorMessage="1" xr:uid="{56111B59-37C7-467D-9857-0639D567B1E9}">
          <x14:formula1>
            <xm:f>Listado!$C$2:$C$20</xm:f>
          </x14:formula1>
          <xm:sqref>C5</xm:sqref>
        </x14:dataValidation>
        <x14:dataValidation type="list" allowBlank="1" showInputMessage="1" showErrorMessage="1" xr:uid="{2E262694-4C94-411B-B035-6468FD4C7AC6}">
          <x14:formula1>
            <xm:f>'Lotes App'!$C$2:$C$183</xm:f>
          </x14:formula1>
          <xm:sqref>C4</xm:sqref>
        </x14:dataValidation>
        <x14:dataValidation type="list" allowBlank="1" showInputMessage="1" showErrorMessage="1" xr:uid="{CCF225C1-B5F8-4364-815C-45E71FD8D1EE}">
          <x14:formula1>
            <xm:f>'Lotes App'!$B$2:$B$183</xm:f>
          </x14:formula1>
          <xm:sqref>C2:E2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A0ED-F360-4B32-81F1-7D598A01A92E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3JTkkG9WzIqpDt25URbSG54u5COuh0ewmkwZlgWg0UYs1Bjj0jOQMXy25Yitp4qHmD6cA3pCtF7AtGGNlxt94A==" saltValue="XcXfIqgPW2f8NNFXsboa4w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132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1" priority="12" stopIfTrue="1" operator="between">
      <formula>0</formula>
      <formula>7</formula>
    </cfRule>
    <cfRule type="cellIs" dxfId="130" priority="13" stopIfTrue="1" operator="greaterThan">
      <formula>40</formula>
    </cfRule>
  </conditionalFormatting>
  <conditionalFormatting sqref="K6:X11">
    <cfRule type="expression" dxfId="129" priority="2" stopIfTrue="1">
      <formula>K6&lt;J6</formula>
    </cfRule>
    <cfRule type="expression" dxfId="128" priority="4" stopIfTrue="1">
      <formula>K6&lt;J6</formula>
    </cfRule>
    <cfRule type="expression" dxfId="127" priority="6" stopIfTrue="1">
      <formula>K6&lt;J6</formula>
    </cfRule>
    <cfRule type="expression" dxfId="126" priority="9" stopIfTrue="1">
      <formula>K6&lt;J6</formula>
    </cfRule>
  </conditionalFormatting>
  <conditionalFormatting sqref="U6:V11">
    <cfRule type="expression" dxfId="125" priority="1" stopIfTrue="1">
      <formula>U6&lt;S6</formula>
    </cfRule>
    <cfRule type="expression" dxfId="124" priority="3" stopIfTrue="1">
      <formula>U6&lt;S6</formula>
    </cfRule>
    <cfRule type="expression" dxfId="123" priority="5" stopIfTrue="1">
      <formula>U6&lt;S6</formula>
    </cfRule>
    <cfRule type="expression" dxfId="122" priority="8" stopIfTrue="1">
      <formula>U6&lt;S6</formula>
    </cfRule>
  </conditionalFormatting>
  <conditionalFormatting sqref="W6:X11">
    <cfRule type="expression" dxfId="121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BE17114-D27A-4163-A770-703C5BD788DE}">
          <x14:formula1>
            <xm:f>Listado!$C$2:$C$20</xm:f>
          </x14:formula1>
          <xm:sqref>C5</xm:sqref>
        </x14:dataValidation>
        <x14:dataValidation type="list" allowBlank="1" showInputMessage="1" showErrorMessage="1" xr:uid="{28EA1369-37AF-476C-AEB2-55B3E5E634F9}">
          <x14:formula1>
            <xm:f>Listado!$F$2:$F$35</xm:f>
          </x14:formula1>
          <xm:sqref>B9:C9</xm:sqref>
        </x14:dataValidation>
        <x14:dataValidation type="list" allowBlank="1" showInputMessage="1" showErrorMessage="1" xr:uid="{5E726E2B-3070-4790-A89F-A29C331F7C67}">
          <x14:formula1>
            <xm:f>'Lotes App'!$B$2:$B$183</xm:f>
          </x14:formula1>
          <xm:sqref>C2:E2</xm:sqref>
        </x14:dataValidation>
        <x14:dataValidation type="list" allowBlank="1" showInputMessage="1" showErrorMessage="1" xr:uid="{90356B4A-C5BE-47E7-980C-80E227911A6D}">
          <x14:formula1>
            <xm:f>'Lotes App'!$C$2:$C$183</xm:f>
          </x14:formula1>
          <xm:sqref>C4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5398-88BE-4285-B26C-092F6076BC2D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MczRDHbW2zwHeFqFlQ7liOepc3Pysqf5yYsxNqv0sLF2VSNdSFqb7Z6NwDzT/QzkwUfyhqafBetnTOA0jG2fkQ==" saltValue="DU7Xe2Jt4pi0nomxjhP5bw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120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9" priority="12" stopIfTrue="1" operator="between">
      <formula>0</formula>
      <formula>7</formula>
    </cfRule>
    <cfRule type="cellIs" dxfId="118" priority="13" stopIfTrue="1" operator="greaterThan">
      <formula>40</formula>
    </cfRule>
  </conditionalFormatting>
  <conditionalFormatting sqref="K6:X11">
    <cfRule type="expression" dxfId="117" priority="2" stopIfTrue="1">
      <formula>K6&lt;J6</formula>
    </cfRule>
    <cfRule type="expression" dxfId="116" priority="4" stopIfTrue="1">
      <formula>K6&lt;J6</formula>
    </cfRule>
    <cfRule type="expression" dxfId="115" priority="6" stopIfTrue="1">
      <formula>K6&lt;J6</formula>
    </cfRule>
    <cfRule type="expression" dxfId="114" priority="9" stopIfTrue="1">
      <formula>K6&lt;J6</formula>
    </cfRule>
  </conditionalFormatting>
  <conditionalFormatting sqref="U6:V11">
    <cfRule type="expression" dxfId="113" priority="1" stopIfTrue="1">
      <formula>U6&lt;S6</formula>
    </cfRule>
    <cfRule type="expression" dxfId="112" priority="3" stopIfTrue="1">
      <formula>U6&lt;S6</formula>
    </cfRule>
    <cfRule type="expression" dxfId="111" priority="5" stopIfTrue="1">
      <formula>U6&lt;S6</formula>
    </cfRule>
    <cfRule type="expression" dxfId="110" priority="8" stopIfTrue="1">
      <formula>U6&lt;S6</formula>
    </cfRule>
  </conditionalFormatting>
  <conditionalFormatting sqref="W6:X11">
    <cfRule type="expression" dxfId="109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BA207D-D3D8-4944-BFDB-35439394C56C}">
          <x14:formula1>
            <xm:f>Listado!$C$2:$C$20</xm:f>
          </x14:formula1>
          <xm:sqref>C5</xm:sqref>
        </x14:dataValidation>
        <x14:dataValidation type="list" allowBlank="1" showInputMessage="1" showErrorMessage="1" xr:uid="{D0697784-81F8-4EC0-AAA1-0738D92C5964}">
          <x14:formula1>
            <xm:f>Listado!$F$2:$F$35</xm:f>
          </x14:formula1>
          <xm:sqref>B9:C9</xm:sqref>
        </x14:dataValidation>
        <x14:dataValidation type="list" allowBlank="1" showInputMessage="1" showErrorMessage="1" xr:uid="{5D3FBE84-9A3D-4CC9-9724-1354595251AD}">
          <x14:formula1>
            <xm:f>'Lotes App'!$B$2:$B$183</xm:f>
          </x14:formula1>
          <xm:sqref>C2:E2</xm:sqref>
        </x14:dataValidation>
        <x14:dataValidation type="list" allowBlank="1" showInputMessage="1" showErrorMessage="1" xr:uid="{49F68E7C-4344-44F8-B26B-FC6FD3E439AE}">
          <x14:formula1>
            <xm:f>'Lotes App'!$C$2:$C$183</xm:f>
          </x14:formula1>
          <xm:sqref>C4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B1FD-A74D-4214-8645-DF9D0EAF4230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Jt/jDhooRsL3fLoA1wbCUwKc6vJsZyo9Js6J8d6DBU0a4bnA/KH9gIy90KO98uGg+1lT8aBG+l9ru5k8sxKH4A==" saltValue="H2+HNsT2++nQwek2XtFb2A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108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7" priority="12" stopIfTrue="1" operator="between">
      <formula>0</formula>
      <formula>7</formula>
    </cfRule>
    <cfRule type="cellIs" dxfId="106" priority="13" stopIfTrue="1" operator="greaterThan">
      <formula>40</formula>
    </cfRule>
  </conditionalFormatting>
  <conditionalFormatting sqref="K6:X11">
    <cfRule type="expression" dxfId="105" priority="2" stopIfTrue="1">
      <formula>K6&lt;J6</formula>
    </cfRule>
    <cfRule type="expression" dxfId="104" priority="4" stopIfTrue="1">
      <formula>K6&lt;J6</formula>
    </cfRule>
    <cfRule type="expression" dxfId="103" priority="6" stopIfTrue="1">
      <formula>K6&lt;J6</formula>
    </cfRule>
    <cfRule type="expression" dxfId="102" priority="9" stopIfTrue="1">
      <formula>K6&lt;J6</formula>
    </cfRule>
  </conditionalFormatting>
  <conditionalFormatting sqref="U6:V11">
    <cfRule type="expression" dxfId="101" priority="1" stopIfTrue="1">
      <formula>U6&lt;S6</formula>
    </cfRule>
    <cfRule type="expression" dxfId="100" priority="3" stopIfTrue="1">
      <formula>U6&lt;S6</formula>
    </cfRule>
    <cfRule type="expression" dxfId="99" priority="5" stopIfTrue="1">
      <formula>U6&lt;S6</formula>
    </cfRule>
    <cfRule type="expression" dxfId="98" priority="8" stopIfTrue="1">
      <formula>U6&lt;S6</formula>
    </cfRule>
  </conditionalFormatting>
  <conditionalFormatting sqref="W6:X11">
    <cfRule type="expression" dxfId="97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132BA0-7E8D-47A3-B9C0-3B5C03F5D890}">
          <x14:formula1>
            <xm:f>Listado!$F$2:$F$35</xm:f>
          </x14:formula1>
          <xm:sqref>B9:C9</xm:sqref>
        </x14:dataValidation>
        <x14:dataValidation type="list" allowBlank="1" showInputMessage="1" showErrorMessage="1" xr:uid="{7FA67614-C3D4-4D82-B151-E48096F40AC6}">
          <x14:formula1>
            <xm:f>Listado!$C$2:$C$20</xm:f>
          </x14:formula1>
          <xm:sqref>C5</xm:sqref>
        </x14:dataValidation>
        <x14:dataValidation type="list" allowBlank="1" showInputMessage="1" showErrorMessage="1" xr:uid="{27C78D28-44DC-4F74-9F0E-A4ED9085D292}">
          <x14:formula1>
            <xm:f>'Lotes App'!$C$2:$C$183</xm:f>
          </x14:formula1>
          <xm:sqref>C4</xm:sqref>
        </x14:dataValidation>
        <x14:dataValidation type="list" allowBlank="1" showInputMessage="1" showErrorMessage="1" xr:uid="{E3C4082C-0736-4C26-8DF8-9EB45E601949}">
          <x14:formula1>
            <xm:f>'Lotes App'!$B$2:$B$183</xm:f>
          </x14:formula1>
          <xm:sqref>C2:E2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9039-6398-488F-A999-530EC934EABE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slqPpNxZg7j9vDgYpzf7aY+gEmIQ+HNUu20NHc2bTOBf+8BkpsNjatOtxLGxwgScWp0H0QpBXSDO0KYPGFIPBg==" saltValue="Y7R54bC51W7gdzuZL2U47w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96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5" priority="12" stopIfTrue="1" operator="between">
      <formula>0</formula>
      <formula>7</formula>
    </cfRule>
    <cfRule type="cellIs" dxfId="94" priority="13" stopIfTrue="1" operator="greaterThan">
      <formula>40</formula>
    </cfRule>
  </conditionalFormatting>
  <conditionalFormatting sqref="K6:X11">
    <cfRule type="expression" dxfId="93" priority="2" stopIfTrue="1">
      <formula>K6&lt;J6</formula>
    </cfRule>
    <cfRule type="expression" dxfId="92" priority="4" stopIfTrue="1">
      <formula>K6&lt;J6</formula>
    </cfRule>
    <cfRule type="expression" dxfId="91" priority="6" stopIfTrue="1">
      <formula>K6&lt;J6</formula>
    </cfRule>
    <cfRule type="expression" dxfId="90" priority="9" stopIfTrue="1">
      <formula>K6&lt;J6</formula>
    </cfRule>
  </conditionalFormatting>
  <conditionalFormatting sqref="U6:V11">
    <cfRule type="expression" dxfId="89" priority="1" stopIfTrue="1">
      <formula>U6&lt;S6</formula>
    </cfRule>
    <cfRule type="expression" dxfId="88" priority="3" stopIfTrue="1">
      <formula>U6&lt;S6</formula>
    </cfRule>
    <cfRule type="expression" dxfId="87" priority="5" stopIfTrue="1">
      <formula>U6&lt;S6</formula>
    </cfRule>
    <cfRule type="expression" dxfId="86" priority="8" stopIfTrue="1">
      <formula>U6&lt;S6</formula>
    </cfRule>
  </conditionalFormatting>
  <conditionalFormatting sqref="W6:X11">
    <cfRule type="expression" dxfId="85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E1A4DEF-C40C-4790-B242-8FE91F970163}">
          <x14:formula1>
            <xm:f>Listado!$C$2:$C$20</xm:f>
          </x14:formula1>
          <xm:sqref>C5</xm:sqref>
        </x14:dataValidation>
        <x14:dataValidation type="list" allowBlank="1" showInputMessage="1" showErrorMessage="1" xr:uid="{EFCD3D5D-EEF3-4027-A5C0-06F59851B77E}">
          <x14:formula1>
            <xm:f>Listado!$F$2:$F$35</xm:f>
          </x14:formula1>
          <xm:sqref>B9:C9</xm:sqref>
        </x14:dataValidation>
        <x14:dataValidation type="list" allowBlank="1" showInputMessage="1" showErrorMessage="1" xr:uid="{7FB2FC92-20C9-401B-8F86-6814143D64DC}">
          <x14:formula1>
            <xm:f>'Lotes App'!$B$2:$B$183</xm:f>
          </x14:formula1>
          <xm:sqref>C2:E2</xm:sqref>
        </x14:dataValidation>
        <x14:dataValidation type="list" allowBlank="1" showInputMessage="1" showErrorMessage="1" xr:uid="{B886BB84-95C0-4E4E-8F46-84D2C2435A57}">
          <x14:formula1>
            <xm:f>'Lotes App'!$C$2:$C$183</xm:f>
          </x14:formula1>
          <xm:sqref>C4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86E8-C27B-419A-93ED-EE79B7AF29FE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emR0E5/Ig9QsN6yp6wkBQyE7RgUvyMWk2szF0jzGtOkiVP8H3vN57NTTKG2j8qjkmwMi6IrC0TOCduSCnIi8Xw==" saltValue="fNADDvl2l2z3SNs05g9HnQ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84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3" priority="12" stopIfTrue="1" operator="between">
      <formula>0</formula>
      <formula>7</formula>
    </cfRule>
    <cfRule type="cellIs" dxfId="82" priority="13" stopIfTrue="1" operator="greaterThan">
      <formula>40</formula>
    </cfRule>
  </conditionalFormatting>
  <conditionalFormatting sqref="K6:X11">
    <cfRule type="expression" dxfId="81" priority="2" stopIfTrue="1">
      <formula>K6&lt;J6</formula>
    </cfRule>
    <cfRule type="expression" dxfId="80" priority="4" stopIfTrue="1">
      <formula>K6&lt;J6</formula>
    </cfRule>
    <cfRule type="expression" dxfId="79" priority="6" stopIfTrue="1">
      <formula>K6&lt;J6</formula>
    </cfRule>
    <cfRule type="expression" dxfId="78" priority="9" stopIfTrue="1">
      <formula>K6&lt;J6</formula>
    </cfRule>
  </conditionalFormatting>
  <conditionalFormatting sqref="U6:V11">
    <cfRule type="expression" dxfId="77" priority="1" stopIfTrue="1">
      <formula>U6&lt;S6</formula>
    </cfRule>
    <cfRule type="expression" dxfId="76" priority="3" stopIfTrue="1">
      <formula>U6&lt;S6</formula>
    </cfRule>
    <cfRule type="expression" dxfId="75" priority="5" stopIfTrue="1">
      <formula>U6&lt;S6</formula>
    </cfRule>
    <cfRule type="expression" dxfId="74" priority="8" stopIfTrue="1">
      <formula>U6&lt;S6</formula>
    </cfRule>
  </conditionalFormatting>
  <conditionalFormatting sqref="W6:X11">
    <cfRule type="expression" dxfId="73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4D1507D-7EE2-4A8A-B9D1-DB1C7141DF4B}">
          <x14:formula1>
            <xm:f>Listado!$F$2:$F$35</xm:f>
          </x14:formula1>
          <xm:sqref>B9:C9</xm:sqref>
        </x14:dataValidation>
        <x14:dataValidation type="list" allowBlank="1" showInputMessage="1" showErrorMessage="1" xr:uid="{4D3DD2EE-2790-47BD-BE34-21DEB2C8C0E2}">
          <x14:formula1>
            <xm:f>Listado!$C$2:$C$20</xm:f>
          </x14:formula1>
          <xm:sqref>C5</xm:sqref>
        </x14:dataValidation>
        <x14:dataValidation type="list" allowBlank="1" showInputMessage="1" showErrorMessage="1" xr:uid="{C5342AA5-1264-4F09-9366-95D02B5D891C}">
          <x14:formula1>
            <xm:f>'Lotes App'!$C$2:$C$183</xm:f>
          </x14:formula1>
          <xm:sqref>C4</xm:sqref>
        </x14:dataValidation>
        <x14:dataValidation type="list" allowBlank="1" showInputMessage="1" showErrorMessage="1" xr:uid="{41149D4B-C26B-46ED-852A-435B75527E6C}">
          <x14:formula1>
            <xm:f>'Lotes App'!$B$2:$B$183</xm:f>
          </x14:formula1>
          <xm:sqref>C2:E2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CC03-31D7-45BA-8571-5C4821150522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pZQCNNjBxAFqZ7SZJNrSUPS43Zay/lNUstRMrUh4coz/lbSYk3JWc1piLi2AdeLq18e1XF/w3W2n19WaVWXDbQ==" saltValue="oGhMZmYWOlsOl4dREj2zRQ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72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1" priority="12" stopIfTrue="1" operator="between">
      <formula>0</formula>
      <formula>7</formula>
    </cfRule>
    <cfRule type="cellIs" dxfId="70" priority="13" stopIfTrue="1" operator="greaterThan">
      <formula>40</formula>
    </cfRule>
  </conditionalFormatting>
  <conditionalFormatting sqref="K6:X11">
    <cfRule type="expression" dxfId="69" priority="2" stopIfTrue="1">
      <formula>K6&lt;J6</formula>
    </cfRule>
    <cfRule type="expression" dxfId="68" priority="4" stopIfTrue="1">
      <formula>K6&lt;J6</formula>
    </cfRule>
    <cfRule type="expression" dxfId="67" priority="6" stopIfTrue="1">
      <formula>K6&lt;J6</formula>
    </cfRule>
    <cfRule type="expression" dxfId="66" priority="9" stopIfTrue="1">
      <formula>K6&lt;J6</formula>
    </cfRule>
  </conditionalFormatting>
  <conditionalFormatting sqref="U6:V11">
    <cfRule type="expression" dxfId="65" priority="1" stopIfTrue="1">
      <formula>U6&lt;S6</formula>
    </cfRule>
    <cfRule type="expression" dxfId="64" priority="3" stopIfTrue="1">
      <formula>U6&lt;S6</formula>
    </cfRule>
    <cfRule type="expression" dxfId="63" priority="5" stopIfTrue="1">
      <formula>U6&lt;S6</formula>
    </cfRule>
    <cfRule type="expression" dxfId="62" priority="8" stopIfTrue="1">
      <formula>U6&lt;S6</formula>
    </cfRule>
  </conditionalFormatting>
  <conditionalFormatting sqref="W6:X11">
    <cfRule type="expression" dxfId="61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96D9256-53DA-4BC4-BCAF-0266B3968A70}">
          <x14:formula1>
            <xm:f>Listado!$F$2:$F$35</xm:f>
          </x14:formula1>
          <xm:sqref>B9:C9</xm:sqref>
        </x14:dataValidation>
        <x14:dataValidation type="list" allowBlank="1" showInputMessage="1" showErrorMessage="1" xr:uid="{F7538B9A-30EF-43C4-833B-442A22DA85C8}">
          <x14:formula1>
            <xm:f>Listado!$C$2:$C$20</xm:f>
          </x14:formula1>
          <xm:sqref>C5</xm:sqref>
        </x14:dataValidation>
        <x14:dataValidation type="list" allowBlank="1" showInputMessage="1" showErrorMessage="1" xr:uid="{A2335F09-B887-40E2-ACE7-D61E13C7D812}">
          <x14:formula1>
            <xm:f>'Lotes App'!$C$2:$C$183</xm:f>
          </x14:formula1>
          <xm:sqref>C4</xm:sqref>
        </x14:dataValidation>
        <x14:dataValidation type="list" allowBlank="1" showInputMessage="1" showErrorMessage="1" xr:uid="{31E49CC3-06A3-4DEB-9811-BB532FF87BC8}">
          <x14:formula1>
            <xm:f>'Lotes App'!$B$2:$B$183</xm:f>
          </x14:formula1>
          <xm:sqref>C2:E2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C642-CD48-4C42-BED0-38D12A854729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Be60pngt8EFO+5GCEJyrhsbqfbRj7rFAcud2p/8I8PaZBemo9sT/ua4i9qqfK204f4WhrfFo2O4hfnlqGKsIgw==" saltValue="M3TtEWZ41NByoIQiYLtsfg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60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" priority="12" stopIfTrue="1" operator="between">
      <formula>0</formula>
      <formula>7</formula>
    </cfRule>
    <cfRule type="cellIs" dxfId="58" priority="13" stopIfTrue="1" operator="greaterThan">
      <formula>40</formula>
    </cfRule>
  </conditionalFormatting>
  <conditionalFormatting sqref="K6:X11">
    <cfRule type="expression" dxfId="57" priority="2" stopIfTrue="1">
      <formula>K6&lt;J6</formula>
    </cfRule>
    <cfRule type="expression" dxfId="56" priority="4" stopIfTrue="1">
      <formula>K6&lt;J6</formula>
    </cfRule>
    <cfRule type="expression" dxfId="55" priority="6" stopIfTrue="1">
      <formula>K6&lt;J6</formula>
    </cfRule>
    <cfRule type="expression" dxfId="54" priority="9" stopIfTrue="1">
      <formula>K6&lt;J6</formula>
    </cfRule>
  </conditionalFormatting>
  <conditionalFormatting sqref="U6:V11">
    <cfRule type="expression" dxfId="53" priority="1" stopIfTrue="1">
      <formula>U6&lt;S6</formula>
    </cfRule>
    <cfRule type="expression" dxfId="52" priority="3" stopIfTrue="1">
      <formula>U6&lt;S6</formula>
    </cfRule>
    <cfRule type="expression" dxfId="51" priority="5" stopIfTrue="1">
      <formula>U6&lt;S6</formula>
    </cfRule>
    <cfRule type="expression" dxfId="50" priority="8" stopIfTrue="1">
      <formula>U6&lt;S6</formula>
    </cfRule>
  </conditionalFormatting>
  <conditionalFormatting sqref="W6:X11">
    <cfRule type="expression" dxfId="49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3C82CD9-C7DF-4BBC-AA56-3A061AC3E289}">
          <x14:formula1>
            <xm:f>Listado!$C$2:$C$20</xm:f>
          </x14:formula1>
          <xm:sqref>C5</xm:sqref>
        </x14:dataValidation>
        <x14:dataValidation type="list" allowBlank="1" showInputMessage="1" showErrorMessage="1" xr:uid="{0A061156-6E88-4DE9-96EB-4ABACD29869F}">
          <x14:formula1>
            <xm:f>Listado!$F$2:$F$35</xm:f>
          </x14:formula1>
          <xm:sqref>B9:C9</xm:sqref>
        </x14:dataValidation>
        <x14:dataValidation type="list" allowBlank="1" showInputMessage="1" showErrorMessage="1" xr:uid="{0A3CA108-A7FA-4720-B9AC-051B9907F07C}">
          <x14:formula1>
            <xm:f>'Lotes App'!$B$2:$B$183</xm:f>
          </x14:formula1>
          <xm:sqref>C2:E2</xm:sqref>
        </x14:dataValidation>
        <x14:dataValidation type="list" allowBlank="1" showInputMessage="1" showErrorMessage="1" xr:uid="{5CE6223A-C4A1-4B12-8D91-3C77B8B57868}">
          <x14:formula1>
            <xm:f>'Lotes App'!$C$2:$C$183</xm:f>
          </x14:formula1>
          <xm:sqref>C4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6FC2-96DE-4CF7-B5AF-572ECAB50DC7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UmJrdnis18C4qmPcYnuKn8ElSkdqS4YJ6gBqe5+ZJf/8EB7YjkN7jN2OjXgsKK2iEQpR1n8rQIAYlbXasG8UMg==" saltValue="TSpqM2qi9EGT7LEFfDPmAA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48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" priority="12" stopIfTrue="1" operator="between">
      <formula>0</formula>
      <formula>7</formula>
    </cfRule>
    <cfRule type="cellIs" dxfId="46" priority="13" stopIfTrue="1" operator="greaterThan">
      <formula>40</formula>
    </cfRule>
  </conditionalFormatting>
  <conditionalFormatting sqref="K6:X11">
    <cfRule type="expression" dxfId="45" priority="2" stopIfTrue="1">
      <formula>K6&lt;J6</formula>
    </cfRule>
    <cfRule type="expression" dxfId="44" priority="4" stopIfTrue="1">
      <formula>K6&lt;J6</formula>
    </cfRule>
    <cfRule type="expression" dxfId="43" priority="6" stopIfTrue="1">
      <formula>K6&lt;J6</formula>
    </cfRule>
    <cfRule type="expression" dxfId="42" priority="9" stopIfTrue="1">
      <formula>K6&lt;J6</formula>
    </cfRule>
  </conditionalFormatting>
  <conditionalFormatting sqref="U6:V11">
    <cfRule type="expression" dxfId="41" priority="1" stopIfTrue="1">
      <formula>U6&lt;S6</formula>
    </cfRule>
    <cfRule type="expression" dxfId="40" priority="3" stopIfTrue="1">
      <formula>U6&lt;S6</formula>
    </cfRule>
    <cfRule type="expression" dxfId="39" priority="5" stopIfTrue="1">
      <formula>U6&lt;S6</formula>
    </cfRule>
    <cfRule type="expression" dxfId="38" priority="8" stopIfTrue="1">
      <formula>U6&lt;S6</formula>
    </cfRule>
  </conditionalFormatting>
  <conditionalFormatting sqref="W6:X11">
    <cfRule type="expression" dxfId="37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D61252A-09A8-4411-9E5A-4B45BE5ED7AA}">
          <x14:formula1>
            <xm:f>Listado!$F$2:$F$35</xm:f>
          </x14:formula1>
          <xm:sqref>B9:C9</xm:sqref>
        </x14:dataValidation>
        <x14:dataValidation type="list" allowBlank="1" showInputMessage="1" showErrorMessage="1" xr:uid="{1E9B90EF-1BE3-4FA8-9042-BFCEFE4DBD7A}">
          <x14:formula1>
            <xm:f>Listado!$C$2:$C$20</xm:f>
          </x14:formula1>
          <xm:sqref>C5</xm:sqref>
        </x14:dataValidation>
        <x14:dataValidation type="list" allowBlank="1" showInputMessage="1" showErrorMessage="1" xr:uid="{E8E805EC-FB08-4D7C-96C2-8A8F57324593}">
          <x14:formula1>
            <xm:f>'Lotes App'!$C$2:$C$183</xm:f>
          </x14:formula1>
          <xm:sqref>C4</xm:sqref>
        </x14:dataValidation>
        <x14:dataValidation type="list" allowBlank="1" showInputMessage="1" showErrorMessage="1" xr:uid="{A5D8A982-F442-410D-BE81-D2B9FD373214}">
          <x14:formula1>
            <xm:f>'Lotes App'!$B$2:$B$183</xm:f>
          </x14:formula1>
          <xm:sqref>C2:E2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2E6E-F14A-4C38-BEC1-B7C6F373BD84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rMsMVx300wpEVwiaVGhyd4BeNGCqNnwZZ6qy6wMXkFZUwJUnOT4zhaQnnpKDHPFS7SZtHHaS68MHOcXtBGpnOg==" saltValue="y4cXpzfcNK1gqDrSjjXWeQ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36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" priority="12" stopIfTrue="1" operator="between">
      <formula>0</formula>
      <formula>7</formula>
    </cfRule>
    <cfRule type="cellIs" dxfId="34" priority="13" stopIfTrue="1" operator="greaterThan">
      <formula>40</formula>
    </cfRule>
  </conditionalFormatting>
  <conditionalFormatting sqref="K6:X11">
    <cfRule type="expression" dxfId="33" priority="2" stopIfTrue="1">
      <formula>K6&lt;J6</formula>
    </cfRule>
    <cfRule type="expression" dxfId="32" priority="4" stopIfTrue="1">
      <formula>K6&lt;J6</formula>
    </cfRule>
    <cfRule type="expression" dxfId="31" priority="6" stopIfTrue="1">
      <formula>K6&lt;J6</formula>
    </cfRule>
    <cfRule type="expression" dxfId="30" priority="9" stopIfTrue="1">
      <formula>K6&lt;J6</formula>
    </cfRule>
  </conditionalFormatting>
  <conditionalFormatting sqref="U6:V11">
    <cfRule type="expression" dxfId="29" priority="1" stopIfTrue="1">
      <formula>U6&lt;S6</formula>
    </cfRule>
    <cfRule type="expression" dxfId="28" priority="3" stopIfTrue="1">
      <formula>U6&lt;S6</formula>
    </cfRule>
    <cfRule type="expression" dxfId="27" priority="5" stopIfTrue="1">
      <formula>U6&lt;S6</formula>
    </cfRule>
    <cfRule type="expression" dxfId="26" priority="8" stopIfTrue="1">
      <formula>U6&lt;S6</formula>
    </cfRule>
  </conditionalFormatting>
  <conditionalFormatting sqref="W6:X11">
    <cfRule type="expression" dxfId="25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5BCB488-4E24-4DA5-8161-25A4344DCD40}">
          <x14:formula1>
            <xm:f>Listado!$C$2:$C$20</xm:f>
          </x14:formula1>
          <xm:sqref>C5</xm:sqref>
        </x14:dataValidation>
        <x14:dataValidation type="list" allowBlank="1" showInputMessage="1" showErrorMessage="1" xr:uid="{DB0E6EFE-D2E1-4926-8DA7-6A83E01464C0}">
          <x14:formula1>
            <xm:f>Listado!$F$2:$F$35</xm:f>
          </x14:formula1>
          <xm:sqref>B9:C9</xm:sqref>
        </x14:dataValidation>
        <x14:dataValidation type="list" allowBlank="1" showInputMessage="1" showErrorMessage="1" xr:uid="{DE9A72C8-3DE1-4E12-BC84-C89DDFF547ED}">
          <x14:formula1>
            <xm:f>'Lotes App'!$B$2:$B$183</xm:f>
          </x14:formula1>
          <xm:sqref>C2:E2</xm:sqref>
        </x14:dataValidation>
        <x14:dataValidation type="list" allowBlank="1" showInputMessage="1" showErrorMessage="1" xr:uid="{CFD8C404-75FD-4DAF-8F52-8CA5B2D24A19}">
          <x14:formula1>
            <xm:f>'Lotes App'!$C$2:$C$183</xm:f>
          </x14:formula1>
          <xm:sqref>C4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93F2-92EC-4596-A68F-437A764B9E01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eLnPBc8wKBw+XIZC1GD51E4Nd3Q1GdPuG6hmFpd7P/AAOoaot+n0gcjAN5Fol9jPrHIt7KJHE+p1lx4eKeNemg==" saltValue="ptxKyGD0JPxRtvgXoj8Q9w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24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" priority="12" stopIfTrue="1" operator="between">
      <formula>0</formula>
      <formula>7</formula>
    </cfRule>
    <cfRule type="cellIs" dxfId="22" priority="13" stopIfTrue="1" operator="greaterThan">
      <formula>40</formula>
    </cfRule>
  </conditionalFormatting>
  <conditionalFormatting sqref="K6:X11">
    <cfRule type="expression" dxfId="21" priority="2" stopIfTrue="1">
      <formula>K6&lt;J6</formula>
    </cfRule>
    <cfRule type="expression" dxfId="20" priority="4" stopIfTrue="1">
      <formula>K6&lt;J6</formula>
    </cfRule>
    <cfRule type="expression" dxfId="19" priority="6" stopIfTrue="1">
      <formula>K6&lt;J6</formula>
    </cfRule>
    <cfRule type="expression" dxfId="18" priority="9" stopIfTrue="1">
      <formula>K6&lt;J6</formula>
    </cfRule>
  </conditionalFormatting>
  <conditionalFormatting sqref="U6:V11">
    <cfRule type="expression" dxfId="17" priority="1" stopIfTrue="1">
      <formula>U6&lt;S6</formula>
    </cfRule>
    <cfRule type="expression" dxfId="16" priority="3" stopIfTrue="1">
      <formula>U6&lt;S6</formula>
    </cfRule>
    <cfRule type="expression" dxfId="15" priority="5" stopIfTrue="1">
      <formula>U6&lt;S6</formula>
    </cfRule>
    <cfRule type="expression" dxfId="14" priority="8" stopIfTrue="1">
      <formula>U6&lt;S6</formula>
    </cfRule>
  </conditionalFormatting>
  <conditionalFormatting sqref="W6:X11">
    <cfRule type="expression" dxfId="13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BB99752-1488-4B93-A9CA-2B693DC01A14}">
          <x14:formula1>
            <xm:f>Listado!$C$2:$C$20</xm:f>
          </x14:formula1>
          <xm:sqref>C5</xm:sqref>
        </x14:dataValidation>
        <x14:dataValidation type="list" allowBlank="1" showInputMessage="1" showErrorMessage="1" xr:uid="{2B21E5C5-BFC2-4FDE-9E58-BA483657A7AF}">
          <x14:formula1>
            <xm:f>Listado!$F$2:$F$35</xm:f>
          </x14:formula1>
          <xm:sqref>B9:C9</xm:sqref>
        </x14:dataValidation>
        <x14:dataValidation type="list" allowBlank="1" showInputMessage="1" showErrorMessage="1" xr:uid="{40C8F529-71E9-428F-BB8F-79502978AF1B}">
          <x14:formula1>
            <xm:f>'Lotes App'!$B$2:$B$183</xm:f>
          </x14:formula1>
          <xm:sqref>C2:E2</xm:sqref>
        </x14:dataValidation>
        <x14:dataValidation type="list" allowBlank="1" showInputMessage="1" showErrorMessage="1" xr:uid="{94FB9BAE-792C-48F4-89A6-D1AAC79F436A}">
          <x14:formula1>
            <xm:f>'Lotes App'!$C$2:$C$183</xm:f>
          </x14:formula1>
          <xm:sqref>C4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1250-8788-4323-AA13-3782590DA1A4}">
  <dimension ref="B1:BM95"/>
  <sheetViews>
    <sheetView showGridLines="0" showRowColHeaders="0" zoomScaleNormal="100" workbookViewId="0">
      <selection activeCell="AA8" sqref="AA8"/>
    </sheetView>
  </sheetViews>
  <sheetFormatPr baseColWidth="10" defaultColWidth="11.3984375" defaultRowHeight="12.75" customHeight="1" zeroHeight="1" outlineLevelCol="1" x14ac:dyDescent="0.35"/>
  <cols>
    <col min="1" max="1" width="1.3984375" style="7" customWidth="1"/>
    <col min="2" max="2" width="17.86328125" style="7" customWidth="1"/>
    <col min="3" max="3" width="11.265625" style="7" customWidth="1"/>
    <col min="4" max="4" width="8.3984375" style="7" customWidth="1"/>
    <col min="5" max="5" width="7.73046875" style="7" bestFit="1" customWidth="1"/>
    <col min="6" max="6" width="8.1328125" style="7" customWidth="1"/>
    <col min="7" max="8" width="5.1328125" style="7" customWidth="1"/>
    <col min="9" max="9" width="7.3984375" style="7" bestFit="1" customWidth="1"/>
    <col min="10" max="24" width="4.1328125" style="7" customWidth="1"/>
    <col min="25" max="27" width="5.1328125" style="7" customWidth="1"/>
    <col min="28" max="28" width="5.73046875" style="7" customWidth="1"/>
    <col min="29" max="29" width="5.265625" style="9" hidden="1" customWidth="1" outlineLevel="1"/>
    <col min="30" max="40" width="6.59765625" style="9" hidden="1" customWidth="1" outlineLevel="1"/>
    <col min="41" max="43" width="5.265625" style="9" hidden="1" customWidth="1" outlineLevel="1"/>
    <col min="44" max="44" width="5.265625" style="9" customWidth="1" collapsed="1"/>
    <col min="45" max="52" width="5.265625" style="9" customWidth="1"/>
    <col min="53" max="53" width="11.3984375" style="9" customWidth="1"/>
    <col min="54" max="54" width="11.3984375" style="8" customWidth="1"/>
    <col min="55" max="259" width="11.3984375" style="7" customWidth="1"/>
    <col min="260" max="16384" width="11.3984375" style="7"/>
  </cols>
  <sheetData>
    <row r="1" spans="2:65" ht="23.25" customHeight="1" x14ac:dyDescent="0.35">
      <c r="B1" s="126" t="s">
        <v>70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AC1" s="8" t="s">
        <v>58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2:65" ht="17.649999999999999" x14ac:dyDescent="0.5">
      <c r="B2" s="10" t="s">
        <v>0</v>
      </c>
      <c r="C2" s="131"/>
      <c r="D2" s="132"/>
      <c r="E2" s="133"/>
      <c r="F2" s="10" t="s">
        <v>28</v>
      </c>
      <c r="G2" s="127"/>
      <c r="H2" s="128"/>
      <c r="I2" s="69"/>
      <c r="J2" s="69"/>
      <c r="K2" s="10" t="s">
        <v>29</v>
      </c>
      <c r="L2" s="69"/>
      <c r="M2" s="69"/>
      <c r="N2" s="69"/>
      <c r="O2" s="69"/>
      <c r="P2" s="134"/>
      <c r="Q2" s="135"/>
      <c r="R2" s="136"/>
      <c r="S2" s="11"/>
      <c r="T2" s="11"/>
      <c r="U2" s="11"/>
      <c r="V2" s="11"/>
      <c r="W2" s="11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</row>
    <row r="3" spans="2:65" ht="12.75" customHeight="1" x14ac:dyDescent="0.35">
      <c r="AC3" s="144" t="s">
        <v>10</v>
      </c>
      <c r="AD3" s="144"/>
      <c r="AE3" s="144"/>
      <c r="AF3" s="144"/>
      <c r="AG3" s="144" t="s">
        <v>13</v>
      </c>
      <c r="AH3" s="144"/>
      <c r="AI3" s="144"/>
      <c r="AJ3" s="144"/>
      <c r="AK3" s="144" t="s">
        <v>16</v>
      </c>
      <c r="AL3" s="144"/>
      <c r="AM3" s="144"/>
      <c r="AN3" s="144"/>
      <c r="AO3"/>
      <c r="AP3"/>
      <c r="AQ3"/>
      <c r="AR3"/>
      <c r="AS3"/>
      <c r="AT3"/>
      <c r="AU3"/>
      <c r="AV3"/>
      <c r="AW3"/>
      <c r="AX3"/>
      <c r="AY3"/>
      <c r="AZ3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</row>
    <row r="4" spans="2:65" ht="13.15" x14ac:dyDescent="0.4">
      <c r="B4" s="70" t="s">
        <v>9</v>
      </c>
      <c r="C4" s="65"/>
      <c r="D4" s="13" t="s">
        <v>1</v>
      </c>
      <c r="E4" s="14" t="s">
        <v>2</v>
      </c>
      <c r="F4" s="14" t="s">
        <v>3</v>
      </c>
      <c r="G4" s="15" t="s">
        <v>4</v>
      </c>
      <c r="H4" s="140" t="s">
        <v>5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2"/>
      <c r="AC4" s="125" t="s">
        <v>26</v>
      </c>
      <c r="AD4" s="125"/>
      <c r="AE4" s="125" t="s">
        <v>27</v>
      </c>
      <c r="AF4" s="125"/>
      <c r="AG4" s="125" t="s">
        <v>26</v>
      </c>
      <c r="AH4" s="125"/>
      <c r="AI4" s="125" t="s">
        <v>27</v>
      </c>
      <c r="AJ4" s="125"/>
      <c r="AK4" s="125" t="s">
        <v>26</v>
      </c>
      <c r="AL4" s="125"/>
      <c r="AM4" s="125" t="s">
        <v>27</v>
      </c>
      <c r="AN4" s="125"/>
      <c r="AO4"/>
      <c r="AP4"/>
      <c r="AQ4"/>
      <c r="AR4"/>
      <c r="AS4"/>
      <c r="AT4"/>
      <c r="AU4"/>
      <c r="AV4"/>
      <c r="AW4"/>
      <c r="AX4"/>
      <c r="AY4"/>
      <c r="AZ4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spans="2:65" ht="13.15" x14ac:dyDescent="0.4">
      <c r="B5" s="71" t="s">
        <v>79</v>
      </c>
      <c r="C5" s="84"/>
      <c r="D5" s="17" t="s">
        <v>6</v>
      </c>
      <c r="E5" s="18" t="s">
        <v>7</v>
      </c>
      <c r="F5" s="18" t="s">
        <v>8</v>
      </c>
      <c r="G5" s="19"/>
      <c r="H5" s="20"/>
      <c r="I5" s="21"/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22">
        <v>16</v>
      </c>
      <c r="AC5" s="23">
        <f t="array" ref="AC5:AC17">TRANSPOSE(J6:X6)</f>
        <v>0</v>
      </c>
      <c r="AD5" s="24">
        <v>0.25</v>
      </c>
      <c r="AE5" s="23">
        <f t="array" ref="AE5:AE17">TRANSPOSE(J7:X7)</f>
        <v>0</v>
      </c>
      <c r="AF5" s="24">
        <f t="shared" ref="AF5:AF17" si="0">+AD5+($D$15/100)</f>
        <v>0.25</v>
      </c>
      <c r="AG5" s="23">
        <f t="array" ref="AG5:AG17">TRANSPOSE(J8:X8)</f>
        <v>0</v>
      </c>
      <c r="AH5" s="24">
        <f t="shared" ref="AH5:AH17" si="1">+AF5+($D$15/100)</f>
        <v>0.25</v>
      </c>
      <c r="AI5" s="23">
        <f t="array" ref="AI5:AI17">TRANSPOSE(J9:X9)</f>
        <v>0</v>
      </c>
      <c r="AJ5" s="24">
        <f t="shared" ref="AJ5:AJ17" si="2">+AH5+($D$15/100)</f>
        <v>0.25</v>
      </c>
      <c r="AK5" s="23">
        <f t="array" ref="AK5:AK17">TRANSPOSE(J10:X10)</f>
        <v>0</v>
      </c>
      <c r="AL5" s="24">
        <f t="shared" ref="AL5:AL17" si="3">+AJ5+($D$15/100)</f>
        <v>0.25</v>
      </c>
      <c r="AM5" s="23">
        <f t="array" ref="AM5:AM17">TRANSPOSE(J11:X11)</f>
        <v>0</v>
      </c>
      <c r="AN5" s="24">
        <f t="shared" ref="AN5:AN17" si="4">+AL5+($D$15/100)</f>
        <v>0.25</v>
      </c>
      <c r="AO5"/>
      <c r="AP5"/>
      <c r="AQ5"/>
      <c r="AR5"/>
      <c r="AS5"/>
      <c r="AT5"/>
      <c r="AU5"/>
      <c r="AV5"/>
      <c r="AW5"/>
      <c r="AX5"/>
      <c r="AY5"/>
      <c r="AZ5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spans="2:65" ht="12.75" customHeight="1" x14ac:dyDescent="0.4">
      <c r="B6" s="72" t="s">
        <v>48</v>
      </c>
      <c r="C6" s="73"/>
      <c r="D6" s="25">
        <f t="shared" ref="D6:D11" si="5">IF(SUM(J16:X16)=0,0,AVERAGE(J16:X16))</f>
        <v>0</v>
      </c>
      <c r="E6" s="26" t="str">
        <f>IF(D6=0,"",100/D6/$D$15*100*10000)</f>
        <v/>
      </c>
      <c r="F6" s="27" t="str">
        <f t="shared" ref="F6:F11" si="6">IF(D6=0,"",STDEV(J16:X16))</f>
        <v/>
      </c>
      <c r="G6" s="28" t="str">
        <f t="shared" ref="G6:G11" si="7">IF(F6="","",F6/D6)</f>
        <v/>
      </c>
      <c r="H6" s="137" t="s">
        <v>10</v>
      </c>
      <c r="I6" s="29" t="s">
        <v>11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7"/>
      <c r="AC6" s="30">
        <v>0</v>
      </c>
      <c r="AD6" s="31">
        <f t="shared" ref="AD6:AD17" si="8">$AD$5</f>
        <v>0.25</v>
      </c>
      <c r="AE6" s="30">
        <v>0</v>
      </c>
      <c r="AF6" s="31">
        <f t="shared" si="0"/>
        <v>0.25</v>
      </c>
      <c r="AG6" s="30">
        <v>0</v>
      </c>
      <c r="AH6" s="31">
        <f t="shared" si="1"/>
        <v>0.25</v>
      </c>
      <c r="AI6" s="30">
        <v>0</v>
      </c>
      <c r="AJ6" s="31">
        <f t="shared" si="2"/>
        <v>0.25</v>
      </c>
      <c r="AK6" s="30">
        <v>0</v>
      </c>
      <c r="AL6" s="31">
        <f t="shared" si="3"/>
        <v>0.25</v>
      </c>
      <c r="AM6" s="30">
        <v>0</v>
      </c>
      <c r="AN6" s="31">
        <f t="shared" si="4"/>
        <v>0.25</v>
      </c>
      <c r="AO6"/>
      <c r="AP6"/>
      <c r="AQ6"/>
      <c r="AR6"/>
      <c r="AS6"/>
      <c r="AT6"/>
      <c r="AU6"/>
      <c r="AV6"/>
      <c r="AW6"/>
      <c r="AX6"/>
      <c r="AY6"/>
      <c r="AZ6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2:65" ht="12.75" customHeight="1" x14ac:dyDescent="0.35">
      <c r="B7" s="74"/>
      <c r="C7" s="32" t="s">
        <v>47</v>
      </c>
      <c r="D7" s="25">
        <f t="shared" si="5"/>
        <v>0</v>
      </c>
      <c r="E7" s="26" t="str">
        <f t="shared" ref="E7:E11" si="9">IF(D7=0,"",100/D7/$D$15*100*10000)</f>
        <v/>
      </c>
      <c r="F7" s="27" t="str">
        <f t="shared" si="6"/>
        <v/>
      </c>
      <c r="G7" s="28" t="str">
        <f t="shared" si="7"/>
        <v/>
      </c>
      <c r="H7" s="138"/>
      <c r="I7" s="33" t="s">
        <v>12</v>
      </c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79"/>
      <c r="AC7" s="30">
        <v>0</v>
      </c>
      <c r="AD7" s="31">
        <f t="shared" si="8"/>
        <v>0.25</v>
      </c>
      <c r="AE7" s="30">
        <v>0</v>
      </c>
      <c r="AF7" s="31">
        <f t="shared" si="0"/>
        <v>0.25</v>
      </c>
      <c r="AG7" s="30">
        <v>0</v>
      </c>
      <c r="AH7" s="31">
        <f t="shared" si="1"/>
        <v>0.25</v>
      </c>
      <c r="AI7" s="30">
        <v>0</v>
      </c>
      <c r="AJ7" s="31">
        <f t="shared" si="2"/>
        <v>0.25</v>
      </c>
      <c r="AK7" s="30">
        <v>0</v>
      </c>
      <c r="AL7" s="31">
        <f t="shared" si="3"/>
        <v>0.25</v>
      </c>
      <c r="AM7" s="30">
        <v>0</v>
      </c>
      <c r="AN7" s="31">
        <f t="shared" si="4"/>
        <v>0.25</v>
      </c>
      <c r="AO7"/>
      <c r="AP7"/>
      <c r="AQ7"/>
      <c r="AR7"/>
      <c r="AS7"/>
      <c r="AT7"/>
      <c r="AU7"/>
      <c r="AV7"/>
      <c r="AW7"/>
      <c r="AX7"/>
      <c r="AY7"/>
      <c r="AZ7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spans="2:65" ht="12.75" customHeight="1" x14ac:dyDescent="0.4">
      <c r="B8" s="72" t="s">
        <v>24</v>
      </c>
      <c r="C8" s="73"/>
      <c r="D8" s="25">
        <f t="shared" si="5"/>
        <v>0</v>
      </c>
      <c r="E8" s="26" t="str">
        <f t="shared" si="9"/>
        <v/>
      </c>
      <c r="F8" s="27" t="str">
        <f t="shared" si="6"/>
        <v/>
      </c>
      <c r="G8" s="28" t="str">
        <f t="shared" si="7"/>
        <v/>
      </c>
      <c r="H8" s="139" t="s">
        <v>13</v>
      </c>
      <c r="I8" s="34" t="s">
        <v>11</v>
      </c>
      <c r="J8" s="8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AC8" s="30">
        <v>0</v>
      </c>
      <c r="AD8" s="31">
        <f t="shared" si="8"/>
        <v>0.25</v>
      </c>
      <c r="AE8" s="30">
        <v>0</v>
      </c>
      <c r="AF8" s="31">
        <f t="shared" si="0"/>
        <v>0.25</v>
      </c>
      <c r="AG8" s="30">
        <v>0</v>
      </c>
      <c r="AH8" s="31">
        <f t="shared" si="1"/>
        <v>0.25</v>
      </c>
      <c r="AI8" s="30">
        <v>0</v>
      </c>
      <c r="AJ8" s="31">
        <f t="shared" si="2"/>
        <v>0.25</v>
      </c>
      <c r="AK8" s="30">
        <v>0</v>
      </c>
      <c r="AL8" s="31">
        <f t="shared" si="3"/>
        <v>0.25</v>
      </c>
      <c r="AM8" s="30">
        <v>0</v>
      </c>
      <c r="AN8" s="31">
        <f t="shared" si="4"/>
        <v>0.25</v>
      </c>
      <c r="AO8"/>
      <c r="AP8"/>
      <c r="AQ8"/>
      <c r="AR8"/>
      <c r="AS8"/>
      <c r="AT8"/>
      <c r="AU8"/>
      <c r="AV8"/>
      <c r="AW8"/>
      <c r="AX8"/>
      <c r="AY8"/>
      <c r="AZ8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spans="2:65" ht="12.75" customHeight="1" x14ac:dyDescent="0.35">
      <c r="B9" s="129"/>
      <c r="C9" s="130"/>
      <c r="D9" s="25">
        <f t="shared" si="5"/>
        <v>0</v>
      </c>
      <c r="E9" s="26" t="str">
        <f t="shared" si="9"/>
        <v/>
      </c>
      <c r="F9" s="27" t="str">
        <f t="shared" si="6"/>
        <v/>
      </c>
      <c r="G9" s="28" t="str">
        <f t="shared" si="7"/>
        <v/>
      </c>
      <c r="H9" s="138"/>
      <c r="I9" s="33" t="s">
        <v>12</v>
      </c>
      <c r="J9" s="7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  <c r="AC9" s="30">
        <v>0</v>
      </c>
      <c r="AD9" s="31">
        <f t="shared" si="8"/>
        <v>0.25</v>
      </c>
      <c r="AE9" s="30">
        <v>0</v>
      </c>
      <c r="AF9" s="31">
        <f t="shared" si="0"/>
        <v>0.25</v>
      </c>
      <c r="AG9" s="30">
        <v>0</v>
      </c>
      <c r="AH9" s="31">
        <f t="shared" si="1"/>
        <v>0.25</v>
      </c>
      <c r="AI9" s="30">
        <v>0</v>
      </c>
      <c r="AJ9" s="31">
        <f t="shared" si="2"/>
        <v>0.25</v>
      </c>
      <c r="AK9" s="30">
        <v>0</v>
      </c>
      <c r="AL9" s="31">
        <f t="shared" si="3"/>
        <v>0.25</v>
      </c>
      <c r="AM9" s="30">
        <v>0</v>
      </c>
      <c r="AN9" s="31">
        <f t="shared" si="4"/>
        <v>0.25</v>
      </c>
      <c r="AO9"/>
      <c r="AP9"/>
      <c r="AQ9"/>
      <c r="AR9"/>
      <c r="AS9"/>
      <c r="AT9"/>
      <c r="AU9"/>
      <c r="AV9"/>
      <c r="AW9"/>
      <c r="AX9"/>
      <c r="AY9"/>
      <c r="AZ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spans="2:65" ht="12.75" customHeight="1" x14ac:dyDescent="0.4">
      <c r="B10" s="72" t="s">
        <v>14</v>
      </c>
      <c r="C10" s="73"/>
      <c r="D10" s="25">
        <f t="shared" si="5"/>
        <v>0</v>
      </c>
      <c r="E10" s="26" t="str">
        <f t="shared" si="9"/>
        <v/>
      </c>
      <c r="F10" s="27" t="str">
        <f t="shared" si="6"/>
        <v/>
      </c>
      <c r="G10" s="28" t="str">
        <f t="shared" si="7"/>
        <v/>
      </c>
      <c r="H10" s="139" t="s">
        <v>16</v>
      </c>
      <c r="I10" s="34" t="s">
        <v>11</v>
      </c>
      <c r="J10" s="80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AC10" s="30">
        <v>0</v>
      </c>
      <c r="AD10" s="31">
        <f t="shared" si="8"/>
        <v>0.25</v>
      </c>
      <c r="AE10" s="30">
        <v>0</v>
      </c>
      <c r="AF10" s="31">
        <f t="shared" si="0"/>
        <v>0.25</v>
      </c>
      <c r="AG10" s="30">
        <v>0</v>
      </c>
      <c r="AH10" s="31">
        <f t="shared" si="1"/>
        <v>0.25</v>
      </c>
      <c r="AI10" s="30">
        <v>0</v>
      </c>
      <c r="AJ10" s="31">
        <f t="shared" si="2"/>
        <v>0.25</v>
      </c>
      <c r="AK10" s="30">
        <v>0</v>
      </c>
      <c r="AL10" s="31">
        <f t="shared" si="3"/>
        <v>0.25</v>
      </c>
      <c r="AM10" s="30">
        <v>0</v>
      </c>
      <c r="AN10" s="31">
        <f t="shared" si="4"/>
        <v>0.25</v>
      </c>
      <c r="AO10"/>
      <c r="AP10"/>
      <c r="AQ10"/>
      <c r="AR10"/>
      <c r="AS10"/>
      <c r="AT10"/>
      <c r="AU10"/>
      <c r="AV10"/>
      <c r="AW10"/>
      <c r="AX10"/>
      <c r="AY10"/>
      <c r="AZ10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spans="2:65" ht="12.75" customHeight="1" x14ac:dyDescent="0.35">
      <c r="B11" s="129"/>
      <c r="C11" s="130"/>
      <c r="D11" s="35">
        <f t="shared" si="5"/>
        <v>0</v>
      </c>
      <c r="E11" s="36" t="str">
        <f t="shared" si="9"/>
        <v/>
      </c>
      <c r="F11" s="37" t="str">
        <f t="shared" si="6"/>
        <v/>
      </c>
      <c r="G11" s="38" t="str">
        <f t="shared" si="7"/>
        <v/>
      </c>
      <c r="H11" s="143"/>
      <c r="I11" s="39" t="s">
        <v>12</v>
      </c>
      <c r="J11" s="81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3"/>
      <c r="AC11" s="30">
        <v>0</v>
      </c>
      <c r="AD11" s="31">
        <f t="shared" si="8"/>
        <v>0.25</v>
      </c>
      <c r="AE11" s="30">
        <v>0</v>
      </c>
      <c r="AF11" s="31">
        <f t="shared" si="0"/>
        <v>0.25</v>
      </c>
      <c r="AG11" s="30">
        <v>0</v>
      </c>
      <c r="AH11" s="31">
        <f t="shared" si="1"/>
        <v>0.25</v>
      </c>
      <c r="AI11" s="30">
        <v>0</v>
      </c>
      <c r="AJ11" s="31">
        <f t="shared" si="2"/>
        <v>0.25</v>
      </c>
      <c r="AK11" s="30">
        <v>0</v>
      </c>
      <c r="AL11" s="31">
        <f t="shared" si="3"/>
        <v>0.25</v>
      </c>
      <c r="AM11" s="30">
        <v>0</v>
      </c>
      <c r="AN11" s="31">
        <f t="shared" si="4"/>
        <v>0.25</v>
      </c>
      <c r="AO11"/>
      <c r="AP11"/>
      <c r="AQ11"/>
      <c r="AR11"/>
      <c r="AS11"/>
      <c r="AT11"/>
      <c r="AU11"/>
      <c r="AV11"/>
      <c r="AW11"/>
      <c r="AX11"/>
      <c r="AY11"/>
      <c r="AZ11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2:65" ht="12.75" customHeight="1" x14ac:dyDescent="0.4">
      <c r="B12" s="72" t="s">
        <v>15</v>
      </c>
      <c r="C12" s="73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AC12" s="30">
        <v>0</v>
      </c>
      <c r="AD12" s="31">
        <f t="shared" si="8"/>
        <v>0.25</v>
      </c>
      <c r="AE12" s="30">
        <v>0</v>
      </c>
      <c r="AF12" s="31">
        <f t="shared" si="0"/>
        <v>0.25</v>
      </c>
      <c r="AG12" s="30">
        <v>0</v>
      </c>
      <c r="AH12" s="31">
        <f t="shared" si="1"/>
        <v>0.25</v>
      </c>
      <c r="AI12" s="30">
        <v>0</v>
      </c>
      <c r="AJ12" s="31">
        <f t="shared" si="2"/>
        <v>0.25</v>
      </c>
      <c r="AK12" s="30">
        <v>0</v>
      </c>
      <c r="AL12" s="31">
        <f t="shared" si="3"/>
        <v>0.25</v>
      </c>
      <c r="AM12" s="30">
        <v>0</v>
      </c>
      <c r="AN12" s="31">
        <f t="shared" si="4"/>
        <v>0.25</v>
      </c>
      <c r="AO12"/>
      <c r="AP12"/>
      <c r="AQ12"/>
      <c r="AR12"/>
      <c r="AS12"/>
      <c r="AT12"/>
      <c r="AU12"/>
      <c r="AV12"/>
      <c r="AW12"/>
      <c r="AX12"/>
      <c r="AY12"/>
      <c r="AZ12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2:65" ht="12.75" customHeight="1" x14ac:dyDescent="0.35">
      <c r="B13" s="129"/>
      <c r="C13" s="130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AC13" s="30">
        <v>0</v>
      </c>
      <c r="AD13" s="31">
        <f t="shared" si="8"/>
        <v>0.25</v>
      </c>
      <c r="AE13" s="30">
        <v>0</v>
      </c>
      <c r="AF13" s="31">
        <f t="shared" si="0"/>
        <v>0.25</v>
      </c>
      <c r="AG13" s="30">
        <v>0</v>
      </c>
      <c r="AH13" s="31">
        <f t="shared" si="1"/>
        <v>0.25</v>
      </c>
      <c r="AI13" s="30">
        <v>0</v>
      </c>
      <c r="AJ13" s="31">
        <f t="shared" si="2"/>
        <v>0.25</v>
      </c>
      <c r="AK13" s="30">
        <v>0</v>
      </c>
      <c r="AL13" s="31">
        <f t="shared" si="3"/>
        <v>0.25</v>
      </c>
      <c r="AM13" s="30">
        <v>0</v>
      </c>
      <c r="AN13" s="31">
        <f t="shared" si="4"/>
        <v>0.25</v>
      </c>
      <c r="AO13"/>
      <c r="AP13"/>
      <c r="AQ13"/>
      <c r="AR13"/>
      <c r="AS13"/>
      <c r="AT13"/>
      <c r="AU13"/>
      <c r="AV13"/>
      <c r="AW13"/>
      <c r="AX13"/>
      <c r="AY13"/>
      <c r="AZ13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2:65" x14ac:dyDescent="0.35">
      <c r="D14" s="40" t="str">
        <f>IF(COUNTIF(D6:D13,"&gt;0"),SUM(D6:D13)/COUNTIF(D6:D13,"&gt;0"),"")</f>
        <v/>
      </c>
      <c r="E14" s="41"/>
      <c r="F14" s="42"/>
      <c r="G14" s="42"/>
      <c r="J14" s="43" t="s">
        <v>45</v>
      </c>
      <c r="AC14" s="30">
        <v>0</v>
      </c>
      <c r="AD14" s="31">
        <f t="shared" si="8"/>
        <v>0.25</v>
      </c>
      <c r="AE14" s="30">
        <v>0</v>
      </c>
      <c r="AF14" s="31">
        <f t="shared" si="0"/>
        <v>0.25</v>
      </c>
      <c r="AG14" s="30">
        <v>0</v>
      </c>
      <c r="AH14" s="31">
        <f t="shared" si="1"/>
        <v>0.25</v>
      </c>
      <c r="AI14" s="30">
        <v>0</v>
      </c>
      <c r="AJ14" s="31">
        <f t="shared" si="2"/>
        <v>0.25</v>
      </c>
      <c r="AK14" s="30">
        <v>0</v>
      </c>
      <c r="AL14" s="31">
        <f t="shared" si="3"/>
        <v>0.25</v>
      </c>
      <c r="AM14" s="30">
        <v>0</v>
      </c>
      <c r="AN14" s="31">
        <f t="shared" si="4"/>
        <v>0.25</v>
      </c>
      <c r="AO14"/>
      <c r="AP14"/>
      <c r="AQ14"/>
      <c r="AR14"/>
      <c r="AS14"/>
      <c r="AT14"/>
      <c r="AU14"/>
      <c r="AV14"/>
      <c r="AW14"/>
      <c r="AX14"/>
      <c r="AY14"/>
      <c r="AZ14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2:65" ht="13.15" x14ac:dyDescent="0.4">
      <c r="B15" s="12" t="s">
        <v>49</v>
      </c>
      <c r="C15" s="44"/>
      <c r="D15" s="45"/>
      <c r="E15" s="46" t="s">
        <v>6</v>
      </c>
      <c r="F15" s="47" t="s">
        <v>25</v>
      </c>
      <c r="G15" s="42"/>
      <c r="J15" s="86" t="s">
        <v>30</v>
      </c>
      <c r="K15" s="86" t="s">
        <v>31</v>
      </c>
      <c r="L15" s="86" t="s">
        <v>32</v>
      </c>
      <c r="M15" s="86" t="s">
        <v>33</v>
      </c>
      <c r="N15" s="86" t="s">
        <v>34</v>
      </c>
      <c r="O15" s="86" t="s">
        <v>35</v>
      </c>
      <c r="P15" s="86" t="s">
        <v>36</v>
      </c>
      <c r="Q15" s="86" t="s">
        <v>37</v>
      </c>
      <c r="R15" s="86" t="s">
        <v>38</v>
      </c>
      <c r="S15" s="86" t="s">
        <v>39</v>
      </c>
      <c r="T15" s="86" t="s">
        <v>40</v>
      </c>
      <c r="U15" s="86" t="s">
        <v>41</v>
      </c>
      <c r="V15" s="86" t="s">
        <v>42</v>
      </c>
      <c r="W15" s="86" t="s">
        <v>43</v>
      </c>
      <c r="X15" s="86" t="s">
        <v>44</v>
      </c>
      <c r="Y15"/>
      <c r="Z15"/>
      <c r="AA15"/>
      <c r="AC15" s="30">
        <v>0</v>
      </c>
      <c r="AD15" s="31">
        <f t="shared" si="8"/>
        <v>0.25</v>
      </c>
      <c r="AE15" s="30">
        <v>0</v>
      </c>
      <c r="AF15" s="31">
        <f t="shared" si="0"/>
        <v>0.25</v>
      </c>
      <c r="AG15" s="30">
        <v>0</v>
      </c>
      <c r="AH15" s="31">
        <f t="shared" si="1"/>
        <v>0.25</v>
      </c>
      <c r="AI15" s="30">
        <v>0</v>
      </c>
      <c r="AJ15" s="31">
        <f t="shared" si="2"/>
        <v>0.25</v>
      </c>
      <c r="AK15" s="30">
        <v>0</v>
      </c>
      <c r="AL15" s="31">
        <f t="shared" si="3"/>
        <v>0.25</v>
      </c>
      <c r="AM15" s="30">
        <v>0</v>
      </c>
      <c r="AN15" s="31">
        <f t="shared" si="4"/>
        <v>0.25</v>
      </c>
      <c r="AO15"/>
      <c r="AP15"/>
      <c r="AQ15"/>
      <c r="AR15"/>
      <c r="AS15"/>
      <c r="AT15"/>
      <c r="AU15"/>
      <c r="AV15"/>
      <c r="AW15"/>
      <c r="AX15"/>
      <c r="AY15"/>
      <c r="AZ15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spans="2:65" ht="13.15" x14ac:dyDescent="0.4">
      <c r="B16" s="50" t="s">
        <v>50</v>
      </c>
      <c r="C16" s="51"/>
      <c r="D16" s="52">
        <f>IF(SUM(E6:E13)=0,0,AVERAGE(E6:E13))</f>
        <v>0</v>
      </c>
      <c r="E16" s="53" t="s">
        <v>17</v>
      </c>
      <c r="F16" s="54" t="str">
        <f>+IF(B7="","",D16/B7*100)</f>
        <v/>
      </c>
      <c r="G16" s="42"/>
      <c r="J16" s="87">
        <f t="shared" ref="J16:J21" si="10">J6</f>
        <v>0</v>
      </c>
      <c r="K16" s="87">
        <f t="shared" ref="K16:X21" si="11">K6-J6</f>
        <v>0</v>
      </c>
      <c r="L16" s="87">
        <f t="shared" si="11"/>
        <v>0</v>
      </c>
      <c r="M16" s="87">
        <f t="shared" si="11"/>
        <v>0</v>
      </c>
      <c r="N16" s="87">
        <f t="shared" si="11"/>
        <v>0</v>
      </c>
      <c r="O16" s="87">
        <f t="shared" si="11"/>
        <v>0</v>
      </c>
      <c r="P16" s="87">
        <f t="shared" si="11"/>
        <v>0</v>
      </c>
      <c r="Q16" s="87">
        <f t="shared" si="11"/>
        <v>0</v>
      </c>
      <c r="R16" s="87">
        <f t="shared" si="11"/>
        <v>0</v>
      </c>
      <c r="S16" s="87">
        <f t="shared" si="11"/>
        <v>0</v>
      </c>
      <c r="T16" s="87">
        <f t="shared" si="11"/>
        <v>0</v>
      </c>
      <c r="U16" s="87">
        <f t="shared" si="11"/>
        <v>0</v>
      </c>
      <c r="V16" s="87">
        <f t="shared" si="11"/>
        <v>0</v>
      </c>
      <c r="W16" s="87">
        <f t="shared" si="11"/>
        <v>0</v>
      </c>
      <c r="X16" s="87">
        <f t="shared" si="11"/>
        <v>0</v>
      </c>
      <c r="Y16"/>
      <c r="Z16"/>
      <c r="AA16"/>
      <c r="AC16" s="30">
        <v>0</v>
      </c>
      <c r="AD16" s="31">
        <f t="shared" si="8"/>
        <v>0.25</v>
      </c>
      <c r="AE16" s="30">
        <v>0</v>
      </c>
      <c r="AF16" s="31">
        <f t="shared" si="0"/>
        <v>0.25</v>
      </c>
      <c r="AG16" s="30">
        <v>0</v>
      </c>
      <c r="AH16" s="31">
        <f t="shared" si="1"/>
        <v>0.25</v>
      </c>
      <c r="AI16" s="30">
        <v>0</v>
      </c>
      <c r="AJ16" s="31">
        <f t="shared" si="2"/>
        <v>0.25</v>
      </c>
      <c r="AK16" s="30">
        <v>0</v>
      </c>
      <c r="AL16" s="31">
        <f t="shared" si="3"/>
        <v>0.25</v>
      </c>
      <c r="AM16" s="30">
        <v>0</v>
      </c>
      <c r="AN16" s="31">
        <f t="shared" si="4"/>
        <v>0.25</v>
      </c>
      <c r="AO16"/>
      <c r="AP16"/>
      <c r="AQ16"/>
      <c r="AR16" s="8"/>
      <c r="AS16" s="8"/>
      <c r="AT16" s="8"/>
      <c r="AU16" s="8"/>
      <c r="AV16" s="8"/>
      <c r="AW16" s="8"/>
      <c r="AX16" s="8"/>
      <c r="AY16" s="8"/>
      <c r="AZ16" s="8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spans="2:65" ht="13.15" x14ac:dyDescent="0.4">
      <c r="B17" s="16" t="s">
        <v>51</v>
      </c>
      <c r="C17" s="55"/>
      <c r="D17" s="56">
        <f>IF(SUM(F6:F13)=0,0,AVERAGE(F6:F13))</f>
        <v>0</v>
      </c>
      <c r="E17" s="57" t="s">
        <v>6</v>
      </c>
      <c r="F17" s="42"/>
      <c r="G17" s="42"/>
      <c r="J17" s="87">
        <f t="shared" si="10"/>
        <v>0</v>
      </c>
      <c r="K17" s="87">
        <f t="shared" si="11"/>
        <v>0</v>
      </c>
      <c r="L17" s="87">
        <f t="shared" si="11"/>
        <v>0</v>
      </c>
      <c r="M17" s="87">
        <f t="shared" si="11"/>
        <v>0</v>
      </c>
      <c r="N17" s="87">
        <f t="shared" si="11"/>
        <v>0</v>
      </c>
      <c r="O17" s="87">
        <f t="shared" si="11"/>
        <v>0</v>
      </c>
      <c r="P17" s="87">
        <f t="shared" si="11"/>
        <v>0</v>
      </c>
      <c r="Q17" s="87">
        <f t="shared" si="11"/>
        <v>0</v>
      </c>
      <c r="R17" s="87">
        <f t="shared" si="11"/>
        <v>0</v>
      </c>
      <c r="S17" s="87">
        <f t="shared" si="11"/>
        <v>0</v>
      </c>
      <c r="T17" s="87">
        <f t="shared" si="11"/>
        <v>0</v>
      </c>
      <c r="U17" s="87">
        <f t="shared" si="11"/>
        <v>0</v>
      </c>
      <c r="V17" s="87">
        <f t="shared" si="11"/>
        <v>0</v>
      </c>
      <c r="W17" s="87">
        <f t="shared" si="11"/>
        <v>0</v>
      </c>
      <c r="X17" s="87">
        <f t="shared" si="11"/>
        <v>0</v>
      </c>
      <c r="Y17"/>
      <c r="Z17"/>
      <c r="AA17"/>
      <c r="AC17" s="48">
        <v>0</v>
      </c>
      <c r="AD17" s="49">
        <f t="shared" si="8"/>
        <v>0.25</v>
      </c>
      <c r="AE17" s="48">
        <v>0</v>
      </c>
      <c r="AF17" s="49">
        <f t="shared" si="0"/>
        <v>0.25</v>
      </c>
      <c r="AG17" s="48">
        <v>0</v>
      </c>
      <c r="AH17" s="49">
        <f t="shared" si="1"/>
        <v>0.25</v>
      </c>
      <c r="AI17" s="48">
        <v>0</v>
      </c>
      <c r="AJ17" s="49">
        <f t="shared" si="2"/>
        <v>0.25</v>
      </c>
      <c r="AK17" s="48">
        <v>0</v>
      </c>
      <c r="AL17" s="49">
        <f t="shared" si="3"/>
        <v>0.25</v>
      </c>
      <c r="AM17" s="48">
        <v>0</v>
      </c>
      <c r="AN17" s="49">
        <f t="shared" si="4"/>
        <v>0.25</v>
      </c>
      <c r="AO17"/>
      <c r="AP17"/>
      <c r="AQ17"/>
      <c r="AR17" s="8"/>
      <c r="AS17" s="8"/>
      <c r="AT17" s="8"/>
      <c r="AU17" s="8"/>
      <c r="AV17" s="8"/>
      <c r="AW17" s="8"/>
      <c r="AX17" s="8"/>
      <c r="AY17" s="8"/>
      <c r="AZ17" s="8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spans="2:65" ht="13.15" x14ac:dyDescent="0.4">
      <c r="B18" s="16" t="s">
        <v>18</v>
      </c>
      <c r="C18" s="58"/>
      <c r="D18" s="59">
        <f>IF(SUM(G6:G13)=0,0,AVERAGE(G6:G13))</f>
        <v>0</v>
      </c>
      <c r="E18" s="57"/>
      <c r="F18" s="42"/>
      <c r="G18" s="42"/>
      <c r="J18" s="87">
        <f t="shared" si="10"/>
        <v>0</v>
      </c>
      <c r="K18" s="87">
        <f t="shared" si="11"/>
        <v>0</v>
      </c>
      <c r="L18" s="87">
        <f t="shared" si="11"/>
        <v>0</v>
      </c>
      <c r="M18" s="87">
        <f t="shared" si="11"/>
        <v>0</v>
      </c>
      <c r="N18" s="87">
        <f t="shared" si="11"/>
        <v>0</v>
      </c>
      <c r="O18" s="87">
        <f t="shared" si="11"/>
        <v>0</v>
      </c>
      <c r="P18" s="87">
        <f t="shared" si="11"/>
        <v>0</v>
      </c>
      <c r="Q18" s="87">
        <f t="shared" si="11"/>
        <v>0</v>
      </c>
      <c r="R18" s="87">
        <f t="shared" si="11"/>
        <v>0</v>
      </c>
      <c r="S18" s="87">
        <f t="shared" si="11"/>
        <v>0</v>
      </c>
      <c r="T18" s="87">
        <f t="shared" si="11"/>
        <v>0</v>
      </c>
      <c r="U18" s="87">
        <f t="shared" si="11"/>
        <v>0</v>
      </c>
      <c r="V18" s="87">
        <f t="shared" si="11"/>
        <v>0</v>
      </c>
      <c r="W18" s="87">
        <f t="shared" si="11"/>
        <v>0</v>
      </c>
      <c r="X18" s="87">
        <f t="shared" si="11"/>
        <v>0</v>
      </c>
      <c r="Y18"/>
      <c r="Z18"/>
      <c r="AA1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spans="2:65" x14ac:dyDescent="0.35">
      <c r="J19" s="87">
        <f t="shared" si="10"/>
        <v>0</v>
      </c>
      <c r="K19" s="87">
        <f t="shared" si="11"/>
        <v>0</v>
      </c>
      <c r="L19" s="87">
        <f t="shared" si="11"/>
        <v>0</v>
      </c>
      <c r="M19" s="87">
        <f t="shared" si="11"/>
        <v>0</v>
      </c>
      <c r="N19" s="87">
        <f t="shared" si="11"/>
        <v>0</v>
      </c>
      <c r="O19" s="87">
        <f t="shared" si="11"/>
        <v>0</v>
      </c>
      <c r="P19" s="87">
        <f t="shared" si="11"/>
        <v>0</v>
      </c>
      <c r="Q19" s="87">
        <f t="shared" si="11"/>
        <v>0</v>
      </c>
      <c r="R19" s="87">
        <f t="shared" si="11"/>
        <v>0</v>
      </c>
      <c r="S19" s="87">
        <f t="shared" si="11"/>
        <v>0</v>
      </c>
      <c r="T19" s="87">
        <f t="shared" si="11"/>
        <v>0</v>
      </c>
      <c r="U19" s="87">
        <f t="shared" si="11"/>
        <v>0</v>
      </c>
      <c r="V19" s="87">
        <f t="shared" si="11"/>
        <v>0</v>
      </c>
      <c r="W19" s="87">
        <f t="shared" si="11"/>
        <v>0</v>
      </c>
      <c r="X19" s="87">
        <f t="shared" si="11"/>
        <v>0</v>
      </c>
      <c r="Y19"/>
      <c r="Z19"/>
      <c r="AA19"/>
      <c r="AC19" s="8" t="s">
        <v>59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2:65" x14ac:dyDescent="0.35">
      <c r="B20" s="43" t="s">
        <v>46</v>
      </c>
      <c r="F20" s="42"/>
      <c r="G20" s="42"/>
      <c r="J20" s="87">
        <f t="shared" si="10"/>
        <v>0</v>
      </c>
      <c r="K20" s="87">
        <f t="shared" si="11"/>
        <v>0</v>
      </c>
      <c r="L20" s="87">
        <f t="shared" si="11"/>
        <v>0</v>
      </c>
      <c r="M20" s="87">
        <f t="shared" si="11"/>
        <v>0</v>
      </c>
      <c r="N20" s="87">
        <f t="shared" si="11"/>
        <v>0</v>
      </c>
      <c r="O20" s="87">
        <f t="shared" si="11"/>
        <v>0</v>
      </c>
      <c r="P20" s="87">
        <f t="shared" si="11"/>
        <v>0</v>
      </c>
      <c r="Q20" s="87">
        <f t="shared" si="11"/>
        <v>0</v>
      </c>
      <c r="R20" s="87">
        <f t="shared" si="11"/>
        <v>0</v>
      </c>
      <c r="S20" s="87">
        <f t="shared" si="11"/>
        <v>0</v>
      </c>
      <c r="T20" s="87">
        <f t="shared" si="11"/>
        <v>0</v>
      </c>
      <c r="U20" s="87">
        <f t="shared" si="11"/>
        <v>0</v>
      </c>
      <c r="V20" s="87">
        <f t="shared" si="11"/>
        <v>0</v>
      </c>
      <c r="W20" s="87">
        <f t="shared" si="11"/>
        <v>0</v>
      </c>
      <c r="X20" s="87">
        <f t="shared" si="11"/>
        <v>0</v>
      </c>
      <c r="Y20"/>
      <c r="Z20"/>
      <c r="AA20"/>
      <c r="AC20" s="8" t="e">
        <f>100/(AI23/(100*(100/($D$15/100))))</f>
        <v>#DIV/0!</v>
      </c>
      <c r="AD20" s="8" t="e">
        <f t="shared" ref="AD20:AQ20" si="12">+$AC$20*J5</f>
        <v>#DIV/0!</v>
      </c>
      <c r="AE20" s="8" t="e">
        <f t="shared" si="12"/>
        <v>#DIV/0!</v>
      </c>
      <c r="AF20" s="8" t="e">
        <f t="shared" si="12"/>
        <v>#DIV/0!</v>
      </c>
      <c r="AG20" s="8" t="e">
        <f t="shared" si="12"/>
        <v>#DIV/0!</v>
      </c>
      <c r="AH20" s="8" t="e">
        <f t="shared" si="12"/>
        <v>#DIV/0!</v>
      </c>
      <c r="AI20" s="8" t="e">
        <f t="shared" si="12"/>
        <v>#DIV/0!</v>
      </c>
      <c r="AJ20" s="8" t="e">
        <f t="shared" si="12"/>
        <v>#DIV/0!</v>
      </c>
      <c r="AK20" s="8" t="e">
        <f t="shared" si="12"/>
        <v>#DIV/0!</v>
      </c>
      <c r="AL20" s="8" t="e">
        <f t="shared" si="12"/>
        <v>#DIV/0!</v>
      </c>
      <c r="AM20" s="8" t="e">
        <f t="shared" si="12"/>
        <v>#DIV/0!</v>
      </c>
      <c r="AN20" s="8" t="e">
        <f t="shared" si="12"/>
        <v>#DIV/0!</v>
      </c>
      <c r="AO20" s="8" t="e">
        <f t="shared" si="12"/>
        <v>#DIV/0!</v>
      </c>
      <c r="AP20" s="8" t="e">
        <f t="shared" si="12"/>
        <v>#DIV/0!</v>
      </c>
      <c r="AQ20" s="8" t="e">
        <f t="shared" si="12"/>
        <v>#DIV/0!</v>
      </c>
      <c r="AR20" s="8"/>
      <c r="AS20" s="8"/>
      <c r="AT20" s="8"/>
      <c r="AU20" s="8"/>
      <c r="AV20" s="8"/>
      <c r="AW20" s="8"/>
      <c r="AX20" s="8"/>
      <c r="AY20" s="8"/>
      <c r="AZ20" s="8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2:65" ht="13.15" x14ac:dyDescent="0.4">
      <c r="B21" s="124"/>
      <c r="C21" s="124"/>
      <c r="F21" s="42"/>
      <c r="G21" s="42"/>
      <c r="J21" s="87">
        <f t="shared" si="10"/>
        <v>0</v>
      </c>
      <c r="K21" s="87">
        <f t="shared" si="11"/>
        <v>0</v>
      </c>
      <c r="L21" s="87">
        <f t="shared" si="11"/>
        <v>0</v>
      </c>
      <c r="M21" s="87">
        <f t="shared" si="11"/>
        <v>0</v>
      </c>
      <c r="N21" s="87">
        <f t="shared" si="11"/>
        <v>0</v>
      </c>
      <c r="O21" s="87">
        <f t="shared" si="11"/>
        <v>0</v>
      </c>
      <c r="P21" s="87">
        <f t="shared" si="11"/>
        <v>0</v>
      </c>
      <c r="Q21" s="87">
        <f t="shared" si="11"/>
        <v>0</v>
      </c>
      <c r="R21" s="87">
        <f t="shared" si="11"/>
        <v>0</v>
      </c>
      <c r="S21" s="87">
        <f t="shared" si="11"/>
        <v>0</v>
      </c>
      <c r="T21" s="87">
        <f t="shared" si="11"/>
        <v>0</v>
      </c>
      <c r="U21" s="87">
        <f t="shared" si="11"/>
        <v>0</v>
      </c>
      <c r="V21" s="87">
        <f t="shared" si="11"/>
        <v>0</v>
      </c>
      <c r="W21" s="87">
        <f t="shared" si="11"/>
        <v>0</v>
      </c>
      <c r="X21" s="87">
        <f t="shared" si="11"/>
        <v>0</v>
      </c>
      <c r="Y21"/>
      <c r="Z21"/>
      <c r="AA21"/>
      <c r="AC21" s="8">
        <f t="shared" ref="AC21:AQ21" si="13">+$AN$5+($D$15/100)</f>
        <v>0.25</v>
      </c>
      <c r="AD21" s="8">
        <f t="shared" si="13"/>
        <v>0.25</v>
      </c>
      <c r="AE21" s="8">
        <f t="shared" si="13"/>
        <v>0.25</v>
      </c>
      <c r="AF21" s="8">
        <f t="shared" si="13"/>
        <v>0.25</v>
      </c>
      <c r="AG21" s="8">
        <f t="shared" si="13"/>
        <v>0.25</v>
      </c>
      <c r="AH21" s="8">
        <f t="shared" si="13"/>
        <v>0.25</v>
      </c>
      <c r="AI21" s="8">
        <f t="shared" si="13"/>
        <v>0.25</v>
      </c>
      <c r="AJ21" s="8">
        <f t="shared" si="13"/>
        <v>0.25</v>
      </c>
      <c r="AK21" s="8">
        <f t="shared" si="13"/>
        <v>0.25</v>
      </c>
      <c r="AL21" s="8">
        <f t="shared" si="13"/>
        <v>0.25</v>
      </c>
      <c r="AM21" s="8">
        <f t="shared" si="13"/>
        <v>0.25</v>
      </c>
      <c r="AN21" s="8">
        <f t="shared" si="13"/>
        <v>0.25</v>
      </c>
      <c r="AO21" s="8">
        <f t="shared" si="13"/>
        <v>0.25</v>
      </c>
      <c r="AP21" s="8">
        <f t="shared" si="13"/>
        <v>0.25</v>
      </c>
      <c r="AQ21" s="8">
        <f t="shared" si="13"/>
        <v>0.25</v>
      </c>
      <c r="AR21" s="8"/>
      <c r="AS21" s="8"/>
      <c r="AT21" s="8"/>
      <c r="AU21" s="8"/>
      <c r="AV21" s="8"/>
      <c r="AW21" s="8"/>
      <c r="AX21" s="8"/>
      <c r="AY21" s="8"/>
      <c r="AZ21" s="8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2:65" x14ac:dyDescent="0.35">
      <c r="F22" s="42"/>
      <c r="G22" s="4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2:65" x14ac:dyDescent="0.35">
      <c r="B23" s="43"/>
      <c r="C23" s="61"/>
      <c r="P23"/>
      <c r="Q23"/>
      <c r="R23"/>
      <c r="S23"/>
      <c r="T23"/>
      <c r="U23"/>
      <c r="V23"/>
      <c r="W23"/>
      <c r="X23"/>
      <c r="AC23" s="8" t="s">
        <v>60</v>
      </c>
      <c r="AD23" s="8"/>
      <c r="AE23" s="8"/>
      <c r="AF23" s="8"/>
      <c r="AG23" s="8"/>
      <c r="AH23" s="8"/>
      <c r="AI23" s="60">
        <f>IF(B7="",D16,B7)</f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2:65" x14ac:dyDescent="0.35">
      <c r="B24" s="43"/>
      <c r="C24" s="62"/>
      <c r="P24"/>
      <c r="Q24"/>
      <c r="R24"/>
      <c r="S24"/>
      <c r="T24"/>
      <c r="U24"/>
      <c r="V24"/>
      <c r="W24"/>
      <c r="X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2:65" x14ac:dyDescent="0.35">
      <c r="P25"/>
      <c r="Q25"/>
      <c r="R25"/>
      <c r="S25"/>
      <c r="T25"/>
      <c r="U25"/>
      <c r="V25"/>
      <c r="W25"/>
      <c r="X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2:65" x14ac:dyDescent="0.35">
      <c r="P26"/>
      <c r="Q26"/>
      <c r="R26"/>
      <c r="S26"/>
      <c r="T26"/>
      <c r="U26"/>
      <c r="V26"/>
      <c r="W26"/>
      <c r="X26"/>
      <c r="AC26" s="88" t="s">
        <v>200</v>
      </c>
      <c r="AD26"/>
      <c r="AE26"/>
      <c r="AF26"/>
      <c r="AG26"/>
      <c r="AH26" s="85">
        <f>B7</f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spans="2:65" x14ac:dyDescent="0.35">
      <c r="P27"/>
      <c r="Q27"/>
      <c r="R27"/>
      <c r="S27"/>
      <c r="T27"/>
      <c r="U27"/>
      <c r="V27"/>
      <c r="W27"/>
      <c r="X27"/>
      <c r="AC27" s="88" t="s">
        <v>66</v>
      </c>
      <c r="AD27"/>
      <c r="AE27"/>
      <c r="AF27"/>
      <c r="AG27"/>
      <c r="AH27">
        <f>D15/100</f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spans="2:65" x14ac:dyDescent="0.35">
      <c r="AC28" s="88" t="s">
        <v>201</v>
      </c>
      <c r="AD28"/>
      <c r="AE28"/>
      <c r="AF28"/>
      <c r="AG28"/>
      <c r="AH28" t="e">
        <f>IF(AH27="","",10/AH27)</f>
        <v>#DIV/0!</v>
      </c>
      <c r="AI28" s="8"/>
      <c r="AJ28" s="8"/>
      <c r="AK28" s="8"/>
      <c r="AL28" s="8"/>
      <c r="AM28" s="8"/>
      <c r="AN28" s="8"/>
      <c r="AO28" s="8"/>
      <c r="AP28" s="8"/>
      <c r="AQ28" s="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spans="2:65" x14ac:dyDescent="0.35">
      <c r="J29" s="63" t="s">
        <v>19</v>
      </c>
      <c r="AC29" s="88" t="s">
        <v>202</v>
      </c>
      <c r="AD29"/>
      <c r="AE29"/>
      <c r="AF29"/>
      <c r="AG29"/>
      <c r="AH29" t="e">
        <f>IF(AH27="","",1*(AH26/1000)/AH28)</f>
        <v>#DIV/0!</v>
      </c>
      <c r="AI29" s="8"/>
      <c r="AJ29" s="8"/>
      <c r="AK29" s="8"/>
      <c r="AL29" s="8"/>
      <c r="AM29" s="8"/>
      <c r="AN29" s="8"/>
      <c r="AO29" s="8"/>
      <c r="AP29" s="8"/>
      <c r="AQ29" s="8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</row>
    <row r="30" spans="2:65" x14ac:dyDescent="0.35"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C30" s="88" t="s">
        <v>203</v>
      </c>
      <c r="AD30"/>
      <c r="AE30"/>
      <c r="AF30"/>
      <c r="AG30"/>
      <c r="AH30" t="e">
        <f>IF(AH29="","",1/AH29*100)</f>
        <v>#DIV/0!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2:65" x14ac:dyDescent="0.35"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20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spans="2:65" ht="14.25" x14ac:dyDescent="0.45">
      <c r="J32" s="118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20"/>
      <c r="AC32" s="88" t="s">
        <v>204</v>
      </c>
      <c r="AD32" s="69"/>
      <c r="AE32" s="69"/>
      <c r="AF32" s="69"/>
      <c r="AG32" s="69"/>
      <c r="AH32" s="89" t="e">
        <f>IF(AH30="","",3)</f>
        <v>#DIV/0!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0:65" ht="14.25" x14ac:dyDescent="0.45"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20"/>
      <c r="AC33" s="88" t="s">
        <v>205</v>
      </c>
      <c r="AD33" s="69"/>
      <c r="AE33" s="69"/>
      <c r="AF33" s="69"/>
      <c r="AG33" s="69"/>
      <c r="AH33" s="89" t="e">
        <f>IF(AH27="","",2*AH30)</f>
        <v>#DIV/0!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</row>
    <row r="34" spans="10:65" x14ac:dyDescent="0.35">
      <c r="J34" s="118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20"/>
      <c r="AC34" s="88" t="s">
        <v>206</v>
      </c>
      <c r="AD34" s="69"/>
      <c r="AE34" s="69"/>
      <c r="AF34" s="69"/>
      <c r="AG34" s="69"/>
      <c r="AH34" s="90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</row>
    <row r="35" spans="10:65" x14ac:dyDescent="0.35"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  <c r="AC35" s="69"/>
      <c r="AD35" s="69"/>
      <c r="AE35" s="69"/>
      <c r="AF35" s="69"/>
      <c r="AG35" s="69"/>
      <c r="AH35" s="6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</row>
    <row r="36" spans="10:65" x14ac:dyDescent="0.35"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20"/>
      <c r="AC36" s="69"/>
      <c r="AD36" s="69"/>
      <c r="AE36" s="69"/>
      <c r="AF36" s="69"/>
      <c r="AG36" s="69"/>
      <c r="AH36" s="6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</row>
    <row r="37" spans="10:65" x14ac:dyDescent="0.35">
      <c r="J37" s="121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3"/>
      <c r="AC37" s="69"/>
      <c r="AD37" s="69"/>
      <c r="AE37" s="69"/>
      <c r="AF37" s="69"/>
      <c r="AG37" s="69"/>
      <c r="AH37" s="6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</row>
    <row r="38" spans="10:65" x14ac:dyDescent="0.35"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0:65" x14ac:dyDescent="0.35"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</row>
    <row r="40" spans="10:65" x14ac:dyDescent="0.35"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</row>
    <row r="41" spans="10:65" x14ac:dyDescent="0.35"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0:65" x14ac:dyDescent="0.35"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</row>
    <row r="43" spans="10:65" x14ac:dyDescent="0.35"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0:65" x14ac:dyDescent="0.35"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</row>
    <row r="45" spans="10:65" x14ac:dyDescent="0.35"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</row>
    <row r="46" spans="10:65" x14ac:dyDescent="0.35"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</row>
    <row r="47" spans="10:65" x14ac:dyDescent="0.35"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  <row r="48" spans="10:65" x14ac:dyDescent="0.35"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</row>
    <row r="49" spans="55:65" x14ac:dyDescent="0.35"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  <row r="50" spans="55:65" x14ac:dyDescent="0.35"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</row>
    <row r="51" spans="55:65" x14ac:dyDescent="0.35"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52" spans="55:65" x14ac:dyDescent="0.35"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</row>
    <row r="53" spans="55:65" x14ac:dyDescent="0.35"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</row>
    <row r="54" spans="55:65" x14ac:dyDescent="0.35"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</row>
    <row r="55" spans="55:65" x14ac:dyDescent="0.35"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</row>
    <row r="56" spans="55:65" x14ac:dyDescent="0.35"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</row>
    <row r="57" spans="55:65" x14ac:dyDescent="0.35"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</row>
    <row r="58" spans="55:65" x14ac:dyDescent="0.35"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</row>
    <row r="59" spans="55:65" x14ac:dyDescent="0.35"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</row>
    <row r="60" spans="55:65" x14ac:dyDescent="0.35"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</row>
    <row r="61" spans="55:65" x14ac:dyDescent="0.35"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</row>
    <row r="62" spans="55:65" x14ac:dyDescent="0.35"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</row>
    <row r="63" spans="55:65" x14ac:dyDescent="0.35"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</row>
    <row r="64" spans="55:65" x14ac:dyDescent="0.35"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</row>
    <row r="65" spans="55:65" x14ac:dyDescent="0.35"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</row>
    <row r="66" spans="55:65" x14ac:dyDescent="0.35"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</row>
    <row r="67" spans="55:65" x14ac:dyDescent="0.35"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</row>
    <row r="68" spans="55:65" x14ac:dyDescent="0.35"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</row>
    <row r="69" spans="55:65" x14ac:dyDescent="0.35"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</row>
    <row r="70" spans="55:65" x14ac:dyDescent="0.35"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</row>
    <row r="71" spans="55:65" x14ac:dyDescent="0.35"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</row>
    <row r="72" spans="55:65" x14ac:dyDescent="0.35"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</row>
    <row r="73" spans="55:65" x14ac:dyDescent="0.35"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</row>
    <row r="74" spans="55:65" x14ac:dyDescent="0.35"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</row>
    <row r="75" spans="55:65" x14ac:dyDescent="0.35"/>
    <row r="76" spans="55:65" x14ac:dyDescent="0.35"/>
    <row r="77" spans="55:65" x14ac:dyDescent="0.35"/>
    <row r="78" spans="55:65" x14ac:dyDescent="0.35"/>
    <row r="79" spans="55:65" x14ac:dyDescent="0.35"/>
    <row r="80" spans="55:65" ht="12.75" customHeight="1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</sheetData>
  <sheetProtection algorithmName="SHA-512" hashValue="sBMy6hyCTfo6AidOmm6YOG5uwIjltkmje5QL3TDLbPUtKqZoPR/Q9H/xLbaIRL8wyNEf4RtXapxk+dRP0cFE3g==" saltValue="e/NOCJtVTd5gEqnfNjrlsg==" spinCount="100000" sheet="1" objects="1" scenarios="1"/>
  <protectedRanges>
    <protectedRange sqref="C2 G2 P2 C4:C5 J6:X11 B7 B9 B11 B13 J30 D15" name="Rango1"/>
  </protectedRanges>
  <mergeCells count="22">
    <mergeCell ref="B21:C21"/>
    <mergeCell ref="J30:Z37"/>
    <mergeCell ref="H6:H7"/>
    <mergeCell ref="H8:H9"/>
    <mergeCell ref="B9:C9"/>
    <mergeCell ref="H10:H11"/>
    <mergeCell ref="B11:C11"/>
    <mergeCell ref="B13:C13"/>
    <mergeCell ref="AK3:AN3"/>
    <mergeCell ref="H4:X4"/>
    <mergeCell ref="AC4:AD4"/>
    <mergeCell ref="AE4:AF4"/>
    <mergeCell ref="AG4:AH4"/>
    <mergeCell ref="AI4:AJ4"/>
    <mergeCell ref="AK4:AL4"/>
    <mergeCell ref="AM4:AN4"/>
    <mergeCell ref="AG3:AJ3"/>
    <mergeCell ref="B1:X1"/>
    <mergeCell ref="C2:E2"/>
    <mergeCell ref="G2:H2"/>
    <mergeCell ref="P2:R2"/>
    <mergeCell ref="AC3:AF3"/>
  </mergeCells>
  <conditionalFormatting sqref="D15">
    <cfRule type="cellIs" dxfId="12" priority="14" stopIfTrue="1" operator="between">
      <formula>0</formula>
      <formula>1</formula>
    </cfRule>
  </conditionalFormatting>
  <conditionalFormatting sqref="G6:G11">
    <cfRule type="dataBar" priority="10">
      <dataBar>
        <cfvo type="min"/>
        <cfvo type="max"/>
        <color rgb="FF63C384"/>
      </dataBar>
    </cfRule>
  </conditionalFormatting>
  <conditionalFormatting sqref="J16:X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" priority="12" stopIfTrue="1" operator="between">
      <formula>0</formula>
      <formula>7</formula>
    </cfRule>
    <cfRule type="cellIs" dxfId="10" priority="13" stopIfTrue="1" operator="greaterThan">
      <formula>40</formula>
    </cfRule>
  </conditionalFormatting>
  <conditionalFormatting sqref="K6:X11">
    <cfRule type="expression" dxfId="9" priority="2" stopIfTrue="1">
      <formula>K6&lt;J6</formula>
    </cfRule>
    <cfRule type="expression" dxfId="8" priority="4" stopIfTrue="1">
      <formula>K6&lt;J6</formula>
    </cfRule>
    <cfRule type="expression" dxfId="7" priority="6" stopIfTrue="1">
      <formula>K6&lt;J6</formula>
    </cfRule>
    <cfRule type="expression" dxfId="6" priority="9" stopIfTrue="1">
      <formula>K6&lt;J6</formula>
    </cfRule>
  </conditionalFormatting>
  <conditionalFormatting sqref="U6:V11">
    <cfRule type="expression" dxfId="5" priority="1" stopIfTrue="1">
      <formula>U6&lt;S6</formula>
    </cfRule>
    <cfRule type="expression" dxfId="4" priority="3" stopIfTrue="1">
      <formula>U6&lt;S6</formula>
    </cfRule>
    <cfRule type="expression" dxfId="3" priority="5" stopIfTrue="1">
      <formula>U6&lt;S6</formula>
    </cfRule>
    <cfRule type="expression" dxfId="2" priority="8" stopIfTrue="1">
      <formula>U6&lt;S6</formula>
    </cfRule>
  </conditionalFormatting>
  <conditionalFormatting sqref="W6:X11">
    <cfRule type="expression" dxfId="1" priority="7" stopIfTrue="1">
      <formula>W6&lt;#REF!</formula>
    </cfRule>
  </conditionalFormatting>
  <printOptions horizontalCentered="1" verticalCentered="1"/>
  <pageMargins left="0.35433070866141736" right="0.35433070866141736" top="0.19685039370078741" bottom="0.59055118110236227" header="0" footer="0.11811023622047245"/>
  <pageSetup paperSize="9" scale="95" orientation="landscape" r:id="rId1"/>
  <headerFooter alignWithMargins="0">
    <oddFooter>&amp;L&amp;D&amp;R&amp;G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0E4A263-31C8-4ECE-B00E-6591B3720CF8}">
          <x14:formula1>
            <xm:f>Listado!$F$2:$F$35</xm:f>
          </x14:formula1>
          <xm:sqref>B9:C9</xm:sqref>
        </x14:dataValidation>
        <x14:dataValidation type="list" allowBlank="1" showInputMessage="1" showErrorMessage="1" xr:uid="{7E3CBA69-50BB-4DC7-8DFE-ED4E4B34A655}">
          <x14:formula1>
            <xm:f>Listado!$C$2:$C$20</xm:f>
          </x14:formula1>
          <xm:sqref>C5</xm:sqref>
        </x14:dataValidation>
        <x14:dataValidation type="list" allowBlank="1" showInputMessage="1" showErrorMessage="1" xr:uid="{68092220-52BC-4103-B51B-AF306DC44D07}">
          <x14:formula1>
            <xm:f>'Lotes App'!$C$2:$C$183</xm:f>
          </x14:formula1>
          <xm:sqref>C4</xm:sqref>
        </x14:dataValidation>
        <x14:dataValidation type="list" allowBlank="1" showInputMessage="1" showErrorMessage="1" xr:uid="{63F4BE4C-D4C5-492D-91CE-11F0294BD33E}">
          <x14:formula1>
            <xm:f>'Lotes App'!$B$2:$B$183</xm:f>
          </x14:formula1>
          <xm:sqref>C2:E2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6"/>
  <dimension ref="A1:W35"/>
  <sheetViews>
    <sheetView showGridLines="0" zoomScale="95" zoomScaleNormal="95" workbookViewId="0">
      <selection activeCell="J3" sqref="J3"/>
    </sheetView>
  </sheetViews>
  <sheetFormatPr baseColWidth="10" defaultColWidth="0" defaultRowHeight="12.75" x14ac:dyDescent="0.35"/>
  <cols>
    <col min="1" max="1" width="1.59765625" style="1" customWidth="1"/>
    <col min="2" max="3" width="15.73046875" style="1" customWidth="1"/>
    <col min="4" max="4" width="6.3984375" style="1" customWidth="1"/>
    <col min="5" max="5" width="10.59765625" style="1" customWidth="1"/>
    <col min="6" max="6" width="17.73046875" style="1" customWidth="1"/>
    <col min="7" max="7" width="15.73046875" style="1" customWidth="1"/>
    <col min="8" max="8" width="6.86328125" style="1" customWidth="1"/>
    <col min="9" max="9" width="9.59765625" style="1" customWidth="1"/>
    <col min="10" max="10" width="11.3984375" style="1" customWidth="1"/>
    <col min="11" max="11" width="8.73046875" style="1" bestFit="1" customWidth="1"/>
    <col min="12" max="14" width="7.73046875" style="1" customWidth="1"/>
    <col min="15" max="15" width="3" style="1" bestFit="1" customWidth="1"/>
    <col min="16" max="20" width="0" style="1" hidden="1" customWidth="1"/>
    <col min="21" max="23" width="0" style="1" hidden="1"/>
    <col min="24" max="16384" width="11.3984375" style="1" hidden="1"/>
  </cols>
  <sheetData>
    <row r="1" spans="2:14" ht="30" customHeight="1" x14ac:dyDescent="0.5">
      <c r="B1" s="64" t="s">
        <v>113</v>
      </c>
      <c r="C1" s="64"/>
      <c r="D1" s="2"/>
      <c r="E1" s="3"/>
      <c r="F1" s="3"/>
      <c r="G1" s="3"/>
      <c r="H1" s="3"/>
      <c r="I1" s="3"/>
      <c r="J1" s="3"/>
      <c r="K1" s="3"/>
      <c r="L1" s="3"/>
      <c r="M1" s="3"/>
      <c r="N1" s="3"/>
    </row>
    <row r="3" spans="2:14" ht="26.25" x14ac:dyDescent="0.35">
      <c r="B3" s="97" t="s">
        <v>20</v>
      </c>
      <c r="C3" s="97" t="s">
        <v>78</v>
      </c>
      <c r="D3" s="97" t="s">
        <v>57</v>
      </c>
      <c r="E3" s="97" t="s">
        <v>21</v>
      </c>
      <c r="F3" s="97" t="s">
        <v>53</v>
      </c>
      <c r="G3" s="97" t="s">
        <v>54</v>
      </c>
      <c r="H3" s="97" t="s">
        <v>71</v>
      </c>
      <c r="I3" s="97" t="s">
        <v>112</v>
      </c>
      <c r="J3" s="97" t="s">
        <v>72</v>
      </c>
      <c r="K3" s="97" t="s">
        <v>25</v>
      </c>
      <c r="L3" s="97" t="s">
        <v>73</v>
      </c>
      <c r="M3" s="97" t="s">
        <v>74</v>
      </c>
      <c r="N3" s="97" t="s">
        <v>75</v>
      </c>
    </row>
    <row r="4" spans="2:14" ht="15" customHeight="1" x14ac:dyDescent="0.35">
      <c r="B4" s="98" t="str">
        <f>IF('L1'!$C$4="","",'L1'!$C$4)</f>
        <v/>
      </c>
      <c r="C4" s="99" t="str">
        <f>IF('L1'!$C$5="","",'L1'!$C$5)</f>
        <v/>
      </c>
      <c r="D4" s="98" t="str">
        <f>IF('L1'!$P$2="","",'L1'!$P$2)</f>
        <v/>
      </c>
      <c r="E4" s="98" t="str">
        <f>IF('L1'!$B$9="","",'L1'!$B$9)</f>
        <v/>
      </c>
      <c r="F4" s="100" t="str">
        <f>IF('L1'!$B$11="","",'L1'!$B$11)</f>
        <v/>
      </c>
      <c r="G4" s="101" t="str">
        <f>IF('L1'!$B$13="","",'L1'!$B$13)</f>
        <v/>
      </c>
      <c r="H4" s="98" t="str">
        <f>IF('L1'!$D$15="","",'L1'!$D$15)</f>
        <v/>
      </c>
      <c r="I4" s="102" t="str">
        <f>IF('L1'!$B$7="","",'L1'!$B$7)</f>
        <v/>
      </c>
      <c r="J4" s="102" t="str">
        <f>IF('L1'!$D$16=0,"",'L1'!$D$16)</f>
        <v/>
      </c>
      <c r="K4" s="102" t="str">
        <f>IF(I4="","",(J4/I4)*100)</f>
        <v/>
      </c>
      <c r="L4" s="103" t="str">
        <f>IF('L1'!$D$14="","",'L1'!$D$14)</f>
        <v/>
      </c>
      <c r="M4" s="103" t="str">
        <f>IF('L1'!$D$17=0,"",'L1'!$D$17)</f>
        <v/>
      </c>
      <c r="N4" s="104" t="str">
        <f>IF('L1'!$D$18=0,"",'L1'!$D$18)</f>
        <v/>
      </c>
    </row>
    <row r="5" spans="2:14" ht="15" customHeight="1" x14ac:dyDescent="0.35">
      <c r="B5" s="98" t="str">
        <f>IF('L2'!$C$4="","",'L2'!$C$4)</f>
        <v/>
      </c>
      <c r="C5" s="99" t="str">
        <f>IF('L2'!$C$5="","",'L2'!$C$5)</f>
        <v/>
      </c>
      <c r="D5" s="98" t="str">
        <f>IF('L2'!$P$2="","",'L2'!$P$2)</f>
        <v/>
      </c>
      <c r="E5" s="98" t="str">
        <f>IF('L2'!$B$9="","",'L2'!$B$9)</f>
        <v/>
      </c>
      <c r="F5" s="100" t="str">
        <f>IF('L2'!$B$11="","",'L2'!$B$11)</f>
        <v/>
      </c>
      <c r="G5" s="101" t="str">
        <f>IF('L2'!$B$13="","",'L2'!$B$13)</f>
        <v/>
      </c>
      <c r="H5" s="98" t="str">
        <f>IF('L2'!$D$15="","",'L2'!$D$15)</f>
        <v/>
      </c>
      <c r="I5" s="102" t="str">
        <f>IF('L2'!$B$7="","",'L2'!$B$7)</f>
        <v/>
      </c>
      <c r="J5" s="102" t="str">
        <f>IF('L2'!$D$16=0,"",'L2'!$D$16)</f>
        <v/>
      </c>
      <c r="K5" s="102" t="str">
        <f t="shared" ref="K5:K23" si="0">IF(I5="","",(J5/I5)*100)</f>
        <v/>
      </c>
      <c r="L5" s="103" t="str">
        <f>IF('L2'!$D$14="","",'L2'!$D$14)</f>
        <v/>
      </c>
      <c r="M5" s="103" t="str">
        <f>IF('L2'!$D$17=0,"",'L2'!$D$17)</f>
        <v/>
      </c>
      <c r="N5" s="104" t="str">
        <f>IF('L2'!$D$18=0,"",'L2'!$D$18)</f>
        <v/>
      </c>
    </row>
    <row r="6" spans="2:14" ht="15" customHeight="1" x14ac:dyDescent="0.35">
      <c r="B6" s="98" t="str">
        <f>IF('L3'!$C$4="","",'L3'!$C$4)</f>
        <v/>
      </c>
      <c r="C6" s="99" t="str">
        <f>IF('L3'!$C$5="","",'L3'!$C$5)</f>
        <v/>
      </c>
      <c r="D6" s="98" t="str">
        <f>IF('L3'!$P$2="","",'L3'!$P$2)</f>
        <v/>
      </c>
      <c r="E6" s="98" t="str">
        <f>IF('L3'!$B$9="","",'L3'!$B$9)</f>
        <v/>
      </c>
      <c r="F6" s="100" t="str">
        <f>IF('L3'!$B$11="","",'L3'!$B$11)</f>
        <v/>
      </c>
      <c r="G6" s="101" t="str">
        <f>IF('L3'!$B$13="","",'L3'!$B$13)</f>
        <v/>
      </c>
      <c r="H6" s="98" t="str">
        <f>IF('L3'!$D$15="","",'L3'!$D$15)</f>
        <v/>
      </c>
      <c r="I6" s="102" t="str">
        <f>IF('L3'!$B$7="","",'L3'!$B$7)</f>
        <v/>
      </c>
      <c r="J6" s="102" t="str">
        <f>IF('L3'!$D$16=0,"",'L3'!$D$16)</f>
        <v/>
      </c>
      <c r="K6" s="102" t="str">
        <f t="shared" si="0"/>
        <v/>
      </c>
      <c r="L6" s="103" t="str">
        <f>IF('L3'!$D$14="","",'L3'!$D$14)</f>
        <v/>
      </c>
      <c r="M6" s="103" t="str">
        <f>IF('L3'!$D$17=0,"",'L3'!$D$17)</f>
        <v/>
      </c>
      <c r="N6" s="104" t="str">
        <f>IF('L3'!$D$18=0,"",'L3'!$D$18)</f>
        <v/>
      </c>
    </row>
    <row r="7" spans="2:14" ht="15" customHeight="1" x14ac:dyDescent="0.35">
      <c r="B7" s="98" t="str">
        <f>IF('L4'!$C$4="","",'L4'!$C$4)</f>
        <v/>
      </c>
      <c r="C7" s="99" t="str">
        <f>IF('L4'!$C$5="","",'L4'!$C$5)</f>
        <v/>
      </c>
      <c r="D7" s="98" t="str">
        <f>IF('L4'!$P$2="","",'L4'!$P$2)</f>
        <v/>
      </c>
      <c r="E7" s="98" t="str">
        <f>IF('L4'!$B$9="","",'L4'!$B$9)</f>
        <v/>
      </c>
      <c r="F7" s="100" t="str">
        <f>IF('L4'!$B$11="","",'L4'!$B$11)</f>
        <v/>
      </c>
      <c r="G7" s="101" t="str">
        <f>IF('L4'!$B$13="","",'L4'!$B$13)</f>
        <v/>
      </c>
      <c r="H7" s="98" t="str">
        <f>IF('L4'!$D$15="","",'L4'!$D$15)</f>
        <v/>
      </c>
      <c r="I7" s="102" t="str">
        <f>IF('L4'!$B$7="","",'L4'!$B$7)</f>
        <v/>
      </c>
      <c r="J7" s="102" t="str">
        <f>IF('L4'!$D$16=0,"",'L4'!$D$16)</f>
        <v/>
      </c>
      <c r="K7" s="102" t="str">
        <f t="shared" si="0"/>
        <v/>
      </c>
      <c r="L7" s="103" t="str">
        <f>IF('L4'!$D$14="","",'L4'!$D$14)</f>
        <v/>
      </c>
      <c r="M7" s="103" t="str">
        <f>IF('L4'!$D$17=0,"",'L4'!$D$17)</f>
        <v/>
      </c>
      <c r="N7" s="104" t="str">
        <f>IF('L4'!$D$18=0,"",'L4'!$D$18)</f>
        <v/>
      </c>
    </row>
    <row r="8" spans="2:14" ht="15" customHeight="1" x14ac:dyDescent="0.35">
      <c r="B8" s="98" t="str">
        <f>IF('L5'!$C$4="","",'L5'!$C$4)</f>
        <v/>
      </c>
      <c r="C8" s="99" t="str">
        <f>IF('L5'!$C$5="","",'L5'!$C$5)</f>
        <v/>
      </c>
      <c r="D8" s="98" t="str">
        <f>IF('L5'!$P$2="","",'L5'!$P$2)</f>
        <v/>
      </c>
      <c r="E8" s="98" t="str">
        <f>IF('L5'!$B$9="","",'L5'!$B$9)</f>
        <v/>
      </c>
      <c r="F8" s="100" t="str">
        <f>IF('L5'!$B$11="","",'L5'!$B$11)</f>
        <v/>
      </c>
      <c r="G8" s="101" t="str">
        <f>IF('L5'!$B$13="","",'L5'!$B$13)</f>
        <v/>
      </c>
      <c r="H8" s="98" t="str">
        <f>IF('L5'!$D$15="","",'L5'!$D$15)</f>
        <v/>
      </c>
      <c r="I8" s="102" t="str">
        <f>IF('L5'!$B$7="","",'L5'!$B$7)</f>
        <v/>
      </c>
      <c r="J8" s="102" t="str">
        <f>IF('L5'!$D$16=0,"",'L5'!$D$16)</f>
        <v/>
      </c>
      <c r="K8" s="102" t="str">
        <f t="shared" si="0"/>
        <v/>
      </c>
      <c r="L8" s="103" t="str">
        <f>IF('L5'!$D$14="","",'L5'!$D$14)</f>
        <v/>
      </c>
      <c r="M8" s="103" t="str">
        <f>IF('L5'!$D$17=0,"",'L5'!$D$17)</f>
        <v/>
      </c>
      <c r="N8" s="104" t="str">
        <f>IF('L5'!$D$18=0,"",'L5'!$D$18)</f>
        <v/>
      </c>
    </row>
    <row r="9" spans="2:14" ht="15" customHeight="1" x14ac:dyDescent="0.35">
      <c r="B9" s="98" t="str">
        <f>IF('L6'!$C$4="","",'L6'!$C$4)</f>
        <v/>
      </c>
      <c r="C9" s="99" t="str">
        <f>IF('L6'!$C$5="","",'L6'!$C$5)</f>
        <v/>
      </c>
      <c r="D9" s="98" t="str">
        <f>IF('L6'!$P$2="","",'L6'!$P$2)</f>
        <v/>
      </c>
      <c r="E9" s="98" t="str">
        <f>IF('L6'!$B$9="","",'L6'!$B$9)</f>
        <v/>
      </c>
      <c r="F9" s="100" t="str">
        <f>IF('L6'!$B$11="","",'L6'!$B$11)</f>
        <v/>
      </c>
      <c r="G9" s="101" t="str">
        <f>IF('L6'!$B$13="","",'L6'!$B$13)</f>
        <v/>
      </c>
      <c r="H9" s="98" t="str">
        <f>IF('L6'!$D$15="","",'L6'!$D$15)</f>
        <v/>
      </c>
      <c r="I9" s="102" t="str">
        <f>IF('L6'!$B$7="","",'L6'!$B$7)</f>
        <v/>
      </c>
      <c r="J9" s="102" t="str">
        <f>IF('L6'!$D$16=0,"",'L6'!$D$16)</f>
        <v/>
      </c>
      <c r="K9" s="102" t="str">
        <f t="shared" si="0"/>
        <v/>
      </c>
      <c r="L9" s="103" t="str">
        <f>IF('L6'!$D$14="","",'L6'!$D$14)</f>
        <v/>
      </c>
      <c r="M9" s="103" t="str">
        <f>IF('L6'!$D$17=0,"",'L6'!$D$17)</f>
        <v/>
      </c>
      <c r="N9" s="104" t="str">
        <f>IF('L6'!$D$18=0,"",'L6'!$D$18)</f>
        <v/>
      </c>
    </row>
    <row r="10" spans="2:14" ht="15" customHeight="1" x14ac:dyDescent="0.35">
      <c r="B10" s="98" t="str">
        <f>IF('L7'!$C$4="","",'L7'!$C$4)</f>
        <v/>
      </c>
      <c r="C10" s="99" t="str">
        <f>IF('L7'!$C$5="","",'L7'!$C$5)</f>
        <v/>
      </c>
      <c r="D10" s="98" t="str">
        <f>IF('L7'!$P$2="","",'L7'!$P$2)</f>
        <v/>
      </c>
      <c r="E10" s="98" t="str">
        <f>IF('L7'!$B$9="","",'L7'!$B$9)</f>
        <v/>
      </c>
      <c r="F10" s="100" t="str">
        <f>IF('L7'!$B$11="","",'L7'!$B$11)</f>
        <v/>
      </c>
      <c r="G10" s="101" t="str">
        <f>IF('L7'!$B$13="","",'L7'!$B$13)</f>
        <v/>
      </c>
      <c r="H10" s="98" t="str">
        <f>IF('L7'!$D$15="","",'L7'!$D$15)</f>
        <v/>
      </c>
      <c r="I10" s="102" t="str">
        <f>IF('L7'!$B$7="","",'L7'!$B$7)</f>
        <v/>
      </c>
      <c r="J10" s="102" t="str">
        <f>IF('L7'!$D$16=0,"",'L7'!$D$16)</f>
        <v/>
      </c>
      <c r="K10" s="102" t="str">
        <f t="shared" si="0"/>
        <v/>
      </c>
      <c r="L10" s="103" t="str">
        <f>IF('L7'!$D$14="","",'L7'!$D$14)</f>
        <v/>
      </c>
      <c r="M10" s="103" t="str">
        <f>IF('L7'!$D$17=0,"",'L7'!$D$17)</f>
        <v/>
      </c>
      <c r="N10" s="104" t="str">
        <f>IF('L7'!$D$18=0,"",'L7'!$D$18)</f>
        <v/>
      </c>
    </row>
    <row r="11" spans="2:14" ht="15" customHeight="1" x14ac:dyDescent="0.35">
      <c r="B11" s="98" t="str">
        <f>IF('L8'!$C$4="","",'L8'!$C$4)</f>
        <v/>
      </c>
      <c r="C11" s="99" t="str">
        <f>IF('L8'!$C$5="","",'L8'!$C$5)</f>
        <v/>
      </c>
      <c r="D11" s="98" t="str">
        <f>IF('L8'!$P$2="","",'L8'!$P$2)</f>
        <v/>
      </c>
      <c r="E11" s="98" t="str">
        <f>IF('L8'!$B$9="","",'L8'!$B$9)</f>
        <v/>
      </c>
      <c r="F11" s="100" t="str">
        <f>IF('L8'!$B$11="","",'L8'!$B$11)</f>
        <v/>
      </c>
      <c r="G11" s="101" t="str">
        <f>IF('L8'!$B$13="","",'L8'!$B$13)</f>
        <v/>
      </c>
      <c r="H11" s="98" t="str">
        <f>IF('L8'!$D$15="","",'L8'!$D$15)</f>
        <v/>
      </c>
      <c r="I11" s="102" t="str">
        <f>IF('L8'!$B$7="","",'L8'!$B$7)</f>
        <v/>
      </c>
      <c r="J11" s="102" t="str">
        <f>IF('L8'!$D$16=0,"",'L8'!$D$16)</f>
        <v/>
      </c>
      <c r="K11" s="102" t="str">
        <f t="shared" si="0"/>
        <v/>
      </c>
      <c r="L11" s="103" t="str">
        <f>IF('L8'!$D$14="","",'L8'!$D$14)</f>
        <v/>
      </c>
      <c r="M11" s="103" t="str">
        <f>IF('L8'!$D$17=0,"",'L8'!$D$17)</f>
        <v/>
      </c>
      <c r="N11" s="104" t="str">
        <f>IF('L8'!$D$18=0,"",'L8'!$D$18)</f>
        <v/>
      </c>
    </row>
    <row r="12" spans="2:14" ht="15" customHeight="1" x14ac:dyDescent="0.35">
      <c r="B12" s="98" t="str">
        <f>IF('L9'!$C$4="","",'L9'!$C$4)</f>
        <v/>
      </c>
      <c r="C12" s="99" t="str">
        <f>IF('L9'!$C$5="","",'L9'!$C$5)</f>
        <v/>
      </c>
      <c r="D12" s="98" t="str">
        <f>IF('L9'!$P$2="","",'L9'!$P$2)</f>
        <v/>
      </c>
      <c r="E12" s="98" t="str">
        <f>IF('L9'!$B$9="","",'L9'!$B$9)</f>
        <v/>
      </c>
      <c r="F12" s="100" t="str">
        <f>IF('L9'!$B$11="","",'L9'!$B$11)</f>
        <v/>
      </c>
      <c r="G12" s="101" t="str">
        <f>IF('L9'!$B$13="","",'L9'!$B$13)</f>
        <v/>
      </c>
      <c r="H12" s="98" t="str">
        <f>IF('L9'!$D$15="","",'L9'!$D$15)</f>
        <v/>
      </c>
      <c r="I12" s="102" t="str">
        <f>IF('L9'!$B$7="","",'L9'!$B$7)</f>
        <v/>
      </c>
      <c r="J12" s="102" t="str">
        <f>IF('L9'!$D$16=0,"",'L9'!$D$16)</f>
        <v/>
      </c>
      <c r="K12" s="102" t="str">
        <f t="shared" si="0"/>
        <v/>
      </c>
      <c r="L12" s="103" t="str">
        <f>IF('L9'!$D$14="","",'L9'!$D$14)</f>
        <v/>
      </c>
      <c r="M12" s="103" t="str">
        <f>IF('L9'!$D$17=0,"",'L9'!$D$17)</f>
        <v/>
      </c>
      <c r="N12" s="104" t="str">
        <f>IF('L9'!$D$18=0,"",'L9'!$D$18)</f>
        <v/>
      </c>
    </row>
    <row r="13" spans="2:14" ht="15" customHeight="1" x14ac:dyDescent="0.35">
      <c r="B13" s="98" t="str">
        <f>IF('L10'!$C$4="","",'L10'!$C$4)</f>
        <v/>
      </c>
      <c r="C13" s="99" t="str">
        <f>IF('L10'!$C$5="","",'L10'!$C$5)</f>
        <v/>
      </c>
      <c r="D13" s="98" t="str">
        <f>IF('L10'!$P$2="","",'L10'!$P$2)</f>
        <v/>
      </c>
      <c r="E13" s="98" t="str">
        <f>IF('L10'!$B$9="","",'L10'!$B$9)</f>
        <v/>
      </c>
      <c r="F13" s="100" t="str">
        <f>IF('L10'!$B$11="","",'L10'!$B$11)</f>
        <v/>
      </c>
      <c r="G13" s="101" t="str">
        <f>IF('L10'!$B$13="","",'L10'!$B$13)</f>
        <v/>
      </c>
      <c r="H13" s="98" t="str">
        <f>IF('L10'!$D$15="","",'L10'!$D$15)</f>
        <v/>
      </c>
      <c r="I13" s="102" t="str">
        <f>IF('L10'!$B$7="","",'L10'!$B$7)</f>
        <v/>
      </c>
      <c r="J13" s="102" t="str">
        <f>IF('L10'!$D$16=0,"",'L10'!$D$16)</f>
        <v/>
      </c>
      <c r="K13" s="102" t="str">
        <f t="shared" si="0"/>
        <v/>
      </c>
      <c r="L13" s="103" t="str">
        <f>IF('L10'!$D$14="","",'L10'!$D$14)</f>
        <v/>
      </c>
      <c r="M13" s="103" t="str">
        <f>IF('L10'!$D$17=0,"",'L10'!$D$17)</f>
        <v/>
      </c>
      <c r="N13" s="104" t="str">
        <f>IF('L10'!$D$18=0,"",'L10'!$D$18)</f>
        <v/>
      </c>
    </row>
    <row r="14" spans="2:14" ht="15" customHeight="1" x14ac:dyDescent="0.35">
      <c r="B14" s="98" t="str">
        <f>IF('L11'!$C$4="","",'L11'!$C$4)</f>
        <v/>
      </c>
      <c r="C14" s="99" t="str">
        <f>IF('L11'!$C$5="","",'L11'!$C$5)</f>
        <v/>
      </c>
      <c r="D14" s="98" t="str">
        <f>IF('L11'!$P$2="","",'L11'!$P$2)</f>
        <v/>
      </c>
      <c r="E14" s="98" t="str">
        <f>IF('L11'!$B$9="","",'L11'!$B$9)</f>
        <v/>
      </c>
      <c r="F14" s="100" t="str">
        <f>IF('L11'!$B$11="","",'L11'!$B$11)</f>
        <v/>
      </c>
      <c r="G14" s="101" t="str">
        <f>IF('L11'!$B$13="","",'L11'!$B$13)</f>
        <v/>
      </c>
      <c r="H14" s="98" t="str">
        <f>IF('L11'!$D$15="","",'L11'!$D$15)</f>
        <v/>
      </c>
      <c r="I14" s="102" t="str">
        <f>IF('L11'!$B$7="","",'L11'!$B$7)</f>
        <v/>
      </c>
      <c r="J14" s="102" t="str">
        <f>IF('L11'!$D$16=0,"",'L11'!$D$16)</f>
        <v/>
      </c>
      <c r="K14" s="102" t="str">
        <f t="shared" si="0"/>
        <v/>
      </c>
      <c r="L14" s="103" t="str">
        <f>IF('L11'!$D$14="","",'L11'!$D$14)</f>
        <v/>
      </c>
      <c r="M14" s="103" t="str">
        <f>IF('L11'!$D$17=0,"",'L11'!$D$17)</f>
        <v/>
      </c>
      <c r="N14" s="104" t="str">
        <f>IF('L11'!$D$18=0,"",'L11'!$D$18)</f>
        <v/>
      </c>
    </row>
    <row r="15" spans="2:14" ht="15" customHeight="1" x14ac:dyDescent="0.35">
      <c r="B15" s="98" t="str">
        <f>IF('L12'!$C$4="","",'L12'!$C$4)</f>
        <v/>
      </c>
      <c r="C15" s="99" t="str">
        <f>IF('L12'!$C$5="","",'L12'!$C$5)</f>
        <v/>
      </c>
      <c r="D15" s="98" t="str">
        <f>IF('L12'!$P$2="","",'L12'!$P$2)</f>
        <v/>
      </c>
      <c r="E15" s="98" t="str">
        <f>IF('L12'!$B$9="","",'L12'!$B$9)</f>
        <v/>
      </c>
      <c r="F15" s="100" t="str">
        <f>IF('L12'!$B$11="","",'L12'!$B$11)</f>
        <v/>
      </c>
      <c r="G15" s="101" t="str">
        <f>IF('L12'!$B$13="","",'L12'!$B$13)</f>
        <v/>
      </c>
      <c r="H15" s="98" t="str">
        <f>IF('L12'!$D$15="","",'L12'!$D$15)</f>
        <v/>
      </c>
      <c r="I15" s="102" t="str">
        <f>IF('L12'!$B$7="","",'L12'!$B$7)</f>
        <v/>
      </c>
      <c r="J15" s="102" t="str">
        <f>IF('L12'!$D$16=0,"",'L12'!$D$16)</f>
        <v/>
      </c>
      <c r="K15" s="102" t="str">
        <f t="shared" si="0"/>
        <v/>
      </c>
      <c r="L15" s="103" t="str">
        <f>IF('L12'!$D$14="","",'L12'!$D$14)</f>
        <v/>
      </c>
      <c r="M15" s="103" t="str">
        <f>IF('L12'!$D$17=0,"",'L12'!$D$17)</f>
        <v/>
      </c>
      <c r="N15" s="104" t="str">
        <f>IF('L12'!$D$18=0,"",'L12'!$D$18)</f>
        <v/>
      </c>
    </row>
    <row r="16" spans="2:14" ht="15" customHeight="1" x14ac:dyDescent="0.35">
      <c r="B16" s="98" t="str">
        <f>IF('L13'!$C$4="","",'L13'!$C$4)</f>
        <v/>
      </c>
      <c r="C16" s="99" t="str">
        <f>IF('L13'!$C$5="","",'L13'!$C$5)</f>
        <v/>
      </c>
      <c r="D16" s="98" t="str">
        <f>IF('L13'!$P$2="","",'L13'!$P$2)</f>
        <v/>
      </c>
      <c r="E16" s="98" t="str">
        <f>IF('L13'!$B$9="","",'L13'!$B$9)</f>
        <v/>
      </c>
      <c r="F16" s="100" t="str">
        <f>IF('L13'!$B$11="","",'L13'!$B$11)</f>
        <v/>
      </c>
      <c r="G16" s="101" t="str">
        <f>IF('L13'!$B$13="","",'L13'!$B$13)</f>
        <v/>
      </c>
      <c r="H16" s="98" t="str">
        <f>IF('L13'!$D$15="","",'L13'!$D$15)</f>
        <v/>
      </c>
      <c r="I16" s="102" t="str">
        <f>IF('L13'!$B$7="","",'L13'!$B$7)</f>
        <v/>
      </c>
      <c r="J16" s="102" t="str">
        <f>IF('L13'!$D$16=0,"",'L13'!$D$16)</f>
        <v/>
      </c>
      <c r="K16" s="102" t="str">
        <f t="shared" si="0"/>
        <v/>
      </c>
      <c r="L16" s="103" t="str">
        <f>IF('L13'!$D$14="","",'L13'!$D$14)</f>
        <v/>
      </c>
      <c r="M16" s="103" t="str">
        <f>IF('L13'!$D$17=0,"",'L13'!$D$17)</f>
        <v/>
      </c>
      <c r="N16" s="104" t="str">
        <f>IF('L13'!$D$18=0,"",'L13'!$D$18)</f>
        <v/>
      </c>
    </row>
    <row r="17" spans="2:14" ht="15" customHeight="1" x14ac:dyDescent="0.35">
      <c r="B17" s="98" t="str">
        <f>IF('L14'!$C$4="","",'L14'!$C$4)</f>
        <v/>
      </c>
      <c r="C17" s="99" t="str">
        <f>IF('L14'!$C$5="","",'L14'!$C$5)</f>
        <v/>
      </c>
      <c r="D17" s="98" t="str">
        <f>IF('L14'!$P$2="","",'L14'!$P$2)</f>
        <v/>
      </c>
      <c r="E17" s="98" t="str">
        <f>IF('L14'!$B$9="","",'L14'!$B$9)</f>
        <v/>
      </c>
      <c r="F17" s="100" t="str">
        <f>IF('L14'!$B$11="","",'L14'!$B$11)</f>
        <v/>
      </c>
      <c r="G17" s="101" t="str">
        <f>IF('L14'!$B$13="","",'L14'!$B$13)</f>
        <v/>
      </c>
      <c r="H17" s="98" t="str">
        <f>IF('L14'!$D$15="","",'L14'!$D$15)</f>
        <v/>
      </c>
      <c r="I17" s="102" t="str">
        <f>IF('L14'!$B$7="","",'L14'!$B$7)</f>
        <v/>
      </c>
      <c r="J17" s="102" t="str">
        <f>IF('L14'!$D$16=0,"",'L14'!$D$16)</f>
        <v/>
      </c>
      <c r="K17" s="102" t="str">
        <f t="shared" si="0"/>
        <v/>
      </c>
      <c r="L17" s="103" t="str">
        <f>IF('L14'!$D$14="","",'L14'!$D$14)</f>
        <v/>
      </c>
      <c r="M17" s="103" t="str">
        <f>IF('L14'!$D$17=0,"",'L14'!$D$17)</f>
        <v/>
      </c>
      <c r="N17" s="104" t="str">
        <f>IF('L14'!$D$18=0,"",'L14'!$D$18)</f>
        <v/>
      </c>
    </row>
    <row r="18" spans="2:14" ht="15" customHeight="1" x14ac:dyDescent="0.35">
      <c r="B18" s="98" t="str">
        <f>IF('L15'!$C$4="","",'L15'!$C$4)</f>
        <v/>
      </c>
      <c r="C18" s="99" t="str">
        <f>IF('L15'!$C$5="","",'L15'!$C$5)</f>
        <v/>
      </c>
      <c r="D18" s="98" t="str">
        <f>IF('L15'!$P$2="","",'L15'!$P$2)</f>
        <v/>
      </c>
      <c r="E18" s="98" t="str">
        <f>IF('L15'!$B$9="","",'L15'!$B$9)</f>
        <v/>
      </c>
      <c r="F18" s="100" t="str">
        <f>IF('L15'!$B$11="","",'L15'!$B$11)</f>
        <v/>
      </c>
      <c r="G18" s="101" t="str">
        <f>IF('L15'!$B$13="","",'L15'!$B$13)</f>
        <v/>
      </c>
      <c r="H18" s="98" t="str">
        <f>IF('L15'!$D$15="","",'L15'!$D$15)</f>
        <v/>
      </c>
      <c r="I18" s="102" t="str">
        <f>IF('L15'!$B$7="","",'L15'!$B$7)</f>
        <v/>
      </c>
      <c r="J18" s="102" t="str">
        <f>IF('L15'!$D$16=0,"",'L15'!$D$16)</f>
        <v/>
      </c>
      <c r="K18" s="102" t="str">
        <f t="shared" si="0"/>
        <v/>
      </c>
      <c r="L18" s="103" t="str">
        <f>IF('L15'!$D$14="","",'L15'!$D$14)</f>
        <v/>
      </c>
      <c r="M18" s="103" t="str">
        <f>IF('L15'!$D$17=0,"",'L15'!$D$17)</f>
        <v/>
      </c>
      <c r="N18" s="104" t="str">
        <f>IF('L15'!$D$18=0,"",'L15'!$D$18)</f>
        <v/>
      </c>
    </row>
    <row r="19" spans="2:14" ht="15" customHeight="1" x14ac:dyDescent="0.35">
      <c r="B19" s="98" t="str">
        <f>IF('L16'!$C$4="","",'L16'!$C$4)</f>
        <v/>
      </c>
      <c r="C19" s="99" t="str">
        <f>IF('L16'!$C$5="","",'L16'!$C$5)</f>
        <v/>
      </c>
      <c r="D19" s="98" t="str">
        <f>IF('L16'!$P$2="","",'L16'!$P$2)</f>
        <v/>
      </c>
      <c r="E19" s="98" t="str">
        <f>IF('L16'!$B$9="","",'L16'!$B$9)</f>
        <v/>
      </c>
      <c r="F19" s="100" t="str">
        <f>IF('L16'!$B$11="","",'L16'!$B$11)</f>
        <v/>
      </c>
      <c r="G19" s="101" t="str">
        <f>IF('L16'!$B$13="","",'L16'!$B$13)</f>
        <v/>
      </c>
      <c r="H19" s="98" t="str">
        <f>IF('L16'!$D$15="","",'L16'!$D$15)</f>
        <v/>
      </c>
      <c r="I19" s="102" t="str">
        <f>IF('L16'!$B$7="","",'L16'!$B$7)</f>
        <v/>
      </c>
      <c r="J19" s="102" t="str">
        <f>IF('L16'!$D$16=0,"",'L16'!$D$16)</f>
        <v/>
      </c>
      <c r="K19" s="102" t="str">
        <f t="shared" si="0"/>
        <v/>
      </c>
      <c r="L19" s="103" t="str">
        <f>IF('L16'!$D$14="","",'L16'!$D$14)</f>
        <v/>
      </c>
      <c r="M19" s="103" t="str">
        <f>IF('L16'!$D$17=0,"",'L16'!$D$17)</f>
        <v/>
      </c>
      <c r="N19" s="104" t="str">
        <f>IF('L16'!$D$18=0,"",'L16'!$D$18)</f>
        <v/>
      </c>
    </row>
    <row r="20" spans="2:14" ht="15" customHeight="1" x14ac:dyDescent="0.35">
      <c r="B20" s="98" t="str">
        <f>IF('L17'!$C$4="","",'L17'!$C$4)</f>
        <v/>
      </c>
      <c r="C20" s="99" t="str">
        <f>IF('L17'!$C$5="","",'L17'!$C$5)</f>
        <v/>
      </c>
      <c r="D20" s="98" t="str">
        <f>IF('L17'!$P$2="","",'L17'!$P$2)</f>
        <v/>
      </c>
      <c r="E20" s="98" t="str">
        <f>IF('L17'!$B$9="","",'L17'!$B$9)</f>
        <v/>
      </c>
      <c r="F20" s="100" t="str">
        <f>IF('L17'!$B$11="","",'L17'!$B$11)</f>
        <v/>
      </c>
      <c r="G20" s="101" t="str">
        <f>IF('L17'!$B$13="","",'L17'!$B$13)</f>
        <v/>
      </c>
      <c r="H20" s="98" t="str">
        <f>IF('L17'!$D$15="","",'L17'!$D$15)</f>
        <v/>
      </c>
      <c r="I20" s="102" t="str">
        <f>IF('L17'!$B$7="","",'L17'!$B$7)</f>
        <v/>
      </c>
      <c r="J20" s="102" t="str">
        <f>IF('L17'!$D$16=0,"",'L17'!$D$16)</f>
        <v/>
      </c>
      <c r="K20" s="102" t="str">
        <f t="shared" si="0"/>
        <v/>
      </c>
      <c r="L20" s="103" t="str">
        <f>IF('L17'!$D$14="","",'L17'!$D$14)</f>
        <v/>
      </c>
      <c r="M20" s="103" t="str">
        <f>IF('L17'!$D$17=0,"",'L17'!$D$17)</f>
        <v/>
      </c>
      <c r="N20" s="104" t="str">
        <f>IF('L17'!$D$18=0,"",'L17'!$D$18)</f>
        <v/>
      </c>
    </row>
    <row r="21" spans="2:14" ht="15" customHeight="1" x14ac:dyDescent="0.35">
      <c r="B21" s="98" t="str">
        <f>IF('L18'!$C$4="","",'L18'!$C$4)</f>
        <v/>
      </c>
      <c r="C21" s="99" t="str">
        <f>IF('L18'!$C$5="","",'L18'!$C$5)</f>
        <v/>
      </c>
      <c r="D21" s="98" t="str">
        <f>IF('L18'!$P$2="","",'L18'!$P$2)</f>
        <v/>
      </c>
      <c r="E21" s="98" t="str">
        <f>IF('L18'!$B$9="","",'L18'!$B$9)</f>
        <v/>
      </c>
      <c r="F21" s="100" t="str">
        <f>IF('L18'!$B$11="","",'L18'!$B$11)</f>
        <v/>
      </c>
      <c r="G21" s="101" t="str">
        <f>IF('L18'!$B$13="","",'L18'!$B$13)</f>
        <v/>
      </c>
      <c r="H21" s="98" t="str">
        <f>IF('L18'!$D$15="","",'L18'!$D$15)</f>
        <v/>
      </c>
      <c r="I21" s="102" t="str">
        <f>IF('L18'!$B$7="","",'L18'!$B$7)</f>
        <v/>
      </c>
      <c r="J21" s="102" t="str">
        <f>IF('L18'!$D$16=0,"",'L18'!$D$16)</f>
        <v/>
      </c>
      <c r="K21" s="102" t="str">
        <f t="shared" si="0"/>
        <v/>
      </c>
      <c r="L21" s="103" t="str">
        <f>IF('L18'!$D$14="","",'L18'!$D$14)</f>
        <v/>
      </c>
      <c r="M21" s="103" t="str">
        <f>IF('L18'!$D$17=0,"",'L18'!$D$17)</f>
        <v/>
      </c>
      <c r="N21" s="104" t="str">
        <f>IF('L18'!$D$18=0,"",'L18'!$D$18)</f>
        <v/>
      </c>
    </row>
    <row r="22" spans="2:14" ht="15" customHeight="1" x14ac:dyDescent="0.35">
      <c r="B22" s="98" t="str">
        <f>IF('L19'!$C$4="","",'L19'!$C$4)</f>
        <v/>
      </c>
      <c r="C22" s="99" t="str">
        <f>IF('L19'!$C$5="","",'L19'!$C$5)</f>
        <v/>
      </c>
      <c r="D22" s="98" t="str">
        <f>IF('L19'!$P$2="","",'L19'!$P$2)</f>
        <v/>
      </c>
      <c r="E22" s="98" t="str">
        <f>IF('L19'!$B$9="","",'L19'!$B$9)</f>
        <v/>
      </c>
      <c r="F22" s="100" t="str">
        <f>IF('L19'!$B$11="","",'L19'!$B$11)</f>
        <v/>
      </c>
      <c r="G22" s="101" t="str">
        <f>IF('L19'!$B$13="","",'L19'!$B$13)</f>
        <v/>
      </c>
      <c r="H22" s="98" t="str">
        <f>IF('L19'!$D$15="","",'L19'!$D$15)</f>
        <v/>
      </c>
      <c r="I22" s="102" t="str">
        <f>IF('L19'!$B$7="","",'L19'!$B$7)</f>
        <v/>
      </c>
      <c r="J22" s="102" t="str">
        <f>IF('L19'!$D$16=0,"",'L19'!$D$16)</f>
        <v/>
      </c>
      <c r="K22" s="102" t="str">
        <f t="shared" si="0"/>
        <v/>
      </c>
      <c r="L22" s="103" t="str">
        <f>IF('L19'!$D$14="","",'L19'!$D$14)</f>
        <v/>
      </c>
      <c r="M22" s="103" t="str">
        <f>IF('L19'!$D$17=0,"",'L19'!$D$17)</f>
        <v/>
      </c>
      <c r="N22" s="104" t="str">
        <f>IF('L19'!$D$18=0,"",'L19'!$D$18)</f>
        <v/>
      </c>
    </row>
    <row r="23" spans="2:14" ht="15" customHeight="1" x14ac:dyDescent="0.35">
      <c r="B23" s="98" t="str">
        <f>IF('L20'!$C$4="","",'L20'!$C$4)</f>
        <v/>
      </c>
      <c r="C23" s="99" t="str">
        <f>IF('L20'!$C$5="","",'L20'!$C$5)</f>
        <v/>
      </c>
      <c r="D23" s="98" t="str">
        <f>IF('L20'!$P$2="","",'L20'!$P$2)</f>
        <v/>
      </c>
      <c r="E23" s="98" t="str">
        <f>IF('L20'!$B$9="","",'L20'!$B$9)</f>
        <v/>
      </c>
      <c r="F23" s="100" t="str">
        <f>IF('L20'!$B$11="","",'L20'!$B$11)</f>
        <v/>
      </c>
      <c r="G23" s="101" t="str">
        <f>IF('L20'!$B$13="","",'L20'!$B$13)</f>
        <v/>
      </c>
      <c r="H23" s="98" t="str">
        <f>IF('L20'!$D$15="","",'L20'!$D$15)</f>
        <v/>
      </c>
      <c r="I23" s="102" t="str">
        <f>IF('L20'!$B$7="","",'L20'!$B$7)</f>
        <v/>
      </c>
      <c r="J23" s="102" t="str">
        <f>IF('L20'!$D$16=0,"",'L20'!$D$16)</f>
        <v/>
      </c>
      <c r="K23" s="102" t="str">
        <f t="shared" si="0"/>
        <v/>
      </c>
      <c r="L23" s="103" t="str">
        <f>IF('L20'!$D$14="","",'L20'!$D$14)</f>
        <v/>
      </c>
      <c r="M23" s="103" t="str">
        <f>IF('L20'!$D$17=0,"",'L20'!$D$17)</f>
        <v/>
      </c>
      <c r="N23" s="104" t="str">
        <f>IF('L20'!$D$18=0,"",'L20'!$D$18)</f>
        <v/>
      </c>
    </row>
    <row r="24" spans="2:14" ht="15" customHeight="1" x14ac:dyDescent="0.35">
      <c r="B24" s="91" t="s">
        <v>69</v>
      </c>
      <c r="C24" s="91"/>
      <c r="D24" s="92"/>
      <c r="E24" s="92"/>
      <c r="F24" s="92"/>
      <c r="G24" s="92"/>
      <c r="H24" s="93"/>
      <c r="I24" s="94" t="str">
        <f t="shared" ref="I24:M24" si="1">IF(COUNTIF(I4:I23,"&gt;0"),SUM(I4:I23)/COUNTIF(I4:I23,"&gt;0"),"")</f>
        <v/>
      </c>
      <c r="J24" s="94" t="str">
        <f t="shared" si="1"/>
        <v/>
      </c>
      <c r="K24" s="94" t="str">
        <f t="shared" si="1"/>
        <v/>
      </c>
      <c r="L24" s="95" t="str">
        <f t="shared" si="1"/>
        <v/>
      </c>
      <c r="M24" s="95" t="str">
        <f t="shared" si="1"/>
        <v/>
      </c>
      <c r="N24" s="96" t="str">
        <f>IF(COUNTIF(N4:N23,"&gt;0"),SUM(N4:N23)/COUNTIF(N4:N23,"&gt;0"),"")</f>
        <v/>
      </c>
    </row>
    <row r="27" spans="2:14" ht="15.75" customHeight="1" x14ac:dyDescent="0.35">
      <c r="B27" s="110" t="s">
        <v>57</v>
      </c>
      <c r="C27" s="145" t="s">
        <v>61</v>
      </c>
      <c r="D27" s="145"/>
      <c r="E27" s="145"/>
      <c r="F27" s="145"/>
    </row>
    <row r="28" spans="2:14" ht="15.75" customHeight="1" x14ac:dyDescent="0.35">
      <c r="B28" s="110" t="s">
        <v>55</v>
      </c>
      <c r="C28" s="145" t="s">
        <v>66</v>
      </c>
      <c r="D28" s="145"/>
      <c r="E28" s="145"/>
      <c r="F28" s="145"/>
    </row>
    <row r="29" spans="2:14" ht="15.75" customHeight="1" x14ac:dyDescent="0.35">
      <c r="B29" s="110" t="s">
        <v>22</v>
      </c>
      <c r="C29" s="145" t="s">
        <v>62</v>
      </c>
      <c r="D29" s="145"/>
      <c r="E29" s="145"/>
      <c r="F29" s="145"/>
    </row>
    <row r="30" spans="2:14" ht="15.75" customHeight="1" x14ac:dyDescent="0.35">
      <c r="B30" s="110" t="s">
        <v>67</v>
      </c>
      <c r="C30" s="145" t="s">
        <v>65</v>
      </c>
      <c r="D30" s="145"/>
      <c r="E30" s="145"/>
      <c r="F30" s="145"/>
    </row>
    <row r="31" spans="2:14" ht="15.75" customHeight="1" x14ac:dyDescent="0.35">
      <c r="B31" s="110" t="s">
        <v>56</v>
      </c>
      <c r="C31" s="145" t="s">
        <v>63</v>
      </c>
      <c r="D31" s="145"/>
      <c r="E31" s="145"/>
      <c r="F31" s="145"/>
    </row>
    <row r="32" spans="2:14" ht="15.75" customHeight="1" x14ac:dyDescent="0.35">
      <c r="B32" s="110" t="s">
        <v>23</v>
      </c>
      <c r="C32" s="145" t="s">
        <v>64</v>
      </c>
      <c r="D32" s="145"/>
      <c r="E32" s="145"/>
      <c r="F32" s="145"/>
    </row>
    <row r="33" spans="2:6" ht="13.15" x14ac:dyDescent="0.35">
      <c r="B33" s="110" t="s">
        <v>320</v>
      </c>
      <c r="C33" s="145" t="s">
        <v>321</v>
      </c>
      <c r="D33" s="145"/>
      <c r="E33" s="145"/>
      <c r="F33" s="145"/>
    </row>
    <row r="34" spans="2:6" ht="13.15" x14ac:dyDescent="0.35">
      <c r="B34" s="110" t="s">
        <v>322</v>
      </c>
      <c r="C34" s="145" t="s">
        <v>323</v>
      </c>
      <c r="D34" s="145"/>
      <c r="E34" s="145"/>
      <c r="F34" s="145"/>
    </row>
    <row r="35" spans="2:6" ht="13.15" x14ac:dyDescent="0.35">
      <c r="B35" s="110" t="s">
        <v>324</v>
      </c>
      <c r="C35" s="145" t="s">
        <v>325</v>
      </c>
      <c r="D35" s="145"/>
      <c r="E35" s="145"/>
      <c r="F35" s="145"/>
    </row>
  </sheetData>
  <sheetProtection sort="0" autoFilter="0" pivotTables="0"/>
  <autoFilter ref="B3:N24" xr:uid="{00000000-0009-0000-0000-000017000000}">
    <sortState xmlns:xlrd2="http://schemas.microsoft.com/office/spreadsheetml/2017/richdata2" ref="B4:N24">
      <sortCondition ref="C3:C24"/>
    </sortState>
  </autoFilter>
  <mergeCells count="9">
    <mergeCell ref="C33:F33"/>
    <mergeCell ref="C34:F34"/>
    <mergeCell ref="C35:F35"/>
    <mergeCell ref="C27:F27"/>
    <mergeCell ref="C28:F28"/>
    <mergeCell ref="C29:F29"/>
    <mergeCell ref="C30:F30"/>
    <mergeCell ref="C31:F31"/>
    <mergeCell ref="C32:F32"/>
  </mergeCells>
  <phoneticPr fontId="19" type="noConversion"/>
  <conditionalFormatting sqref="K4:K24">
    <cfRule type="cellIs" dxfId="0" priority="3" operator="greaterThan">
      <formula>100</formula>
    </cfRule>
  </conditionalFormatting>
  <printOptions horizontalCentered="1"/>
  <pageMargins left="0.11811023622047245" right="0.11811023622047245" top="0.39370078740157483" bottom="0.39370078740157483" header="0" footer="0.11811023622047245"/>
  <pageSetup paperSize="9" scale="90" orientation="landscape" r:id="rId1"/>
  <headerFooter alignWithMargins="0">
    <oddHeader>&amp;R&amp;G</oddHeader>
    <oddFooter>&amp;L&amp;D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7"/>
  <dimension ref="A1"/>
  <sheetViews>
    <sheetView showGridLines="0" showRowColHeaders="0" workbookViewId="0">
      <selection activeCell="B3" sqref="B3"/>
    </sheetView>
  </sheetViews>
  <sheetFormatPr baseColWidth="10" defaultColWidth="11.3984375" defaultRowHeight="12.75" x14ac:dyDescent="0.35"/>
  <cols>
    <col min="1" max="1" width="1.3984375" customWidth="1"/>
    <col min="2" max="8" width="11.3984375" customWidth="1"/>
    <col min="9" max="9" width="5.73046875" customWidth="1"/>
  </cols>
  <sheetData/>
  <sheetProtection algorithmName="SHA-512" hashValue="fJnPETUo5bGczATVXF6cBxiiDZCY9EOnOhMfdhvoYohl0zcIjGxVqddmdHxtGirKfxQqktPlPas0Uyxay8rn1w==" saltValue="tGZsp+7Ovr3huhAjwz69BQ==" spinCount="100000" sheet="1" objects="1" scenarios="1"/>
  <pageMargins left="0.98425196850393704" right="0.55118110236220474" top="0.78740157480314965" bottom="0.70866141732283472" header="7.874015748031496E-2" footer="0.31496062992125984"/>
  <pageSetup paperSize="9" scale="95" orientation="landscape" r:id="rId1"/>
  <headerFooter>
    <oddHeader>&amp;R&amp;G</oddHeader>
    <oddFooter>&amp;L&amp;D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70A8F5-6CB7-4DF9-AACD-E960C09039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3</vt:i4>
      </vt:variant>
    </vt:vector>
  </HeadingPairs>
  <TitlesOfParts>
    <vt:vector size="28" baseType="lpstr">
      <vt:lpstr>Caratula</vt:lpstr>
      <vt:lpstr>Lotes App</vt:lpstr>
      <vt:lpstr>Listado</vt:lpstr>
      <vt:lpstr>L1</vt:lpstr>
      <vt:lpstr>L2</vt:lpstr>
      <vt:lpstr>L3</vt:lpstr>
      <vt:lpstr>L4</vt:lpstr>
      <vt:lpstr>L5</vt:lpstr>
      <vt:lpstr>L6</vt:lpstr>
      <vt:lpstr>L7</vt:lpstr>
      <vt:lpstr>L8</vt:lpstr>
      <vt:lpstr>L9</vt:lpstr>
      <vt:lpstr>L10</vt:lpstr>
      <vt:lpstr>L11</vt:lpstr>
      <vt:lpstr>L12</vt:lpstr>
      <vt:lpstr>L13</vt:lpstr>
      <vt:lpstr>L14</vt:lpstr>
      <vt:lpstr>L15</vt:lpstr>
      <vt:lpstr>L16</vt:lpstr>
      <vt:lpstr>L17</vt:lpstr>
      <vt:lpstr>L18</vt:lpstr>
      <vt:lpstr>L19</vt:lpstr>
      <vt:lpstr>L20</vt:lpstr>
      <vt:lpstr>Resumen</vt:lpstr>
      <vt:lpstr>Graficos</vt:lpstr>
      <vt:lpstr>Resumen!Área_de_impresión</vt:lpstr>
      <vt:lpstr>Resumen!Criterios</vt:lpstr>
      <vt:lpstr>Resumen!Títulos_a_imprimir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A. Arduini</dc:creator>
  <cp:lastModifiedBy>Juan Angel Arduini</cp:lastModifiedBy>
  <cp:lastPrinted>2026-10-19T18:23:41Z</cp:lastPrinted>
  <dcterms:created xsi:type="dcterms:W3CDTF">2007-11-06T21:38:19Z</dcterms:created>
  <dcterms:modified xsi:type="dcterms:W3CDTF">2026-10-19T18:28:21Z</dcterms:modified>
</cp:coreProperties>
</file>